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1_Financial" sheetId="2" state="visible" r:id="rId2"/>
    <sheet xmlns:r="http://schemas.openxmlformats.org/officeDocument/2006/relationships" name="P1_Payroll" sheetId="3" state="visible" r:id="rId3"/>
    <sheet xmlns:r="http://schemas.openxmlformats.org/officeDocument/2006/relationships" name="P2_HR" sheetId="4" state="visible" r:id="rId4"/>
    <sheet xmlns:r="http://schemas.openxmlformats.org/officeDocument/2006/relationships" name="P2_GDPR" sheetId="5" state="visible" r:id="rId5"/>
    <sheet xmlns:r="http://schemas.openxmlformats.org/officeDocument/2006/relationships" name="P2_Charity" sheetId="6" state="visible" r:id="rId6"/>
    <sheet xmlns:r="http://schemas.openxmlformats.org/officeDocument/2006/relationships" name="P2_Security" sheetId="7" state="visible" r:id="rId7"/>
    <sheet xmlns:r="http://schemas.openxmlformats.org/officeDocument/2006/relationships" name="P1_Grants" sheetId="8" state="visible" r:id="rId8"/>
    <sheet xmlns:r="http://schemas.openxmlformats.org/officeDocument/2006/relationships" name="P2_Donations" sheetId="9" state="visible" r:id="rId9"/>
    <sheet xmlns:r="http://schemas.openxmlformats.org/officeDocument/2006/relationships" name="P3_UKVI" sheetId="10" state="visible" r:id="rId10"/>
    <sheet xmlns:r="http://schemas.openxmlformats.org/officeDocument/2006/relationships" name="Implementation Roadmap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0">
    <font>
      <name val="Calibri"/>
      <family val="2"/>
      <color theme="1"/>
      <sz val="11"/>
      <scheme val="minor"/>
    </font>
    <font>
      <name val="Arial"/>
      <b val="1"/>
      <color rgb="0010B981"/>
      <sz val="16"/>
    </font>
    <font>
      <name val="Arial"/>
      <color rgb="0094A3B8"/>
      <sz val="10"/>
    </font>
    <font>
      <name val="Arial"/>
      <color rgb="0064748B"/>
      <sz val="9"/>
    </font>
    <font>
      <name val="Arial"/>
      <b val="1"/>
      <color rgb="00E2E8F0"/>
      <sz val="11"/>
    </font>
    <font>
      <name val="Arial"/>
      <b val="1"/>
      <color rgb="00FFFFFF"/>
      <sz val="9"/>
    </font>
    <font>
      <name val="Arial"/>
      <b val="1"/>
      <color rgb="00047857"/>
      <sz val="18"/>
    </font>
    <font>
      <name val="Arial"/>
      <color rgb="00475569"/>
      <sz val="8"/>
    </font>
    <font>
      <name val="Arial"/>
      <b val="1"/>
      <color rgb="00B91C1C"/>
      <sz val="18"/>
    </font>
    <font>
      <name val="Arial"/>
      <b val="1"/>
      <color rgb="006D28D9"/>
      <sz val="18"/>
    </font>
    <font>
      <name val="Arial"/>
      <b val="1"/>
      <color rgb="00B45309"/>
      <sz val="18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B91C1C"/>
      <sz val="8"/>
    </font>
    <font>
      <name val="Arial"/>
      <b val="1"/>
      <color rgb="00B45309"/>
      <sz val="8"/>
    </font>
    <font>
      <name val="Arial"/>
      <b val="1"/>
      <color rgb="00047857"/>
      <sz val="8"/>
    </font>
    <font>
      <name val="Arial"/>
      <b val="1"/>
      <color rgb="001D4ED8"/>
      <sz val="8"/>
    </font>
    <font>
      <name val="Arial"/>
      <b val="1"/>
      <color rgb="00E2E8F0"/>
      <sz val="10"/>
    </font>
    <font>
      <name val="Arial"/>
      <b val="1"/>
      <color rgb="00047857"/>
      <sz val="9"/>
    </font>
    <font>
      <name val="Arial"/>
      <color rgb="00475569"/>
      <sz val="9"/>
    </font>
    <font>
      <name val="Arial"/>
      <b val="1"/>
      <color rgb="00B45309"/>
      <sz val="9"/>
    </font>
    <font>
      <name val="Arial"/>
      <b val="1"/>
      <color rgb="00B91C1C"/>
      <sz val="9"/>
    </font>
    <font>
      <name val="Arial"/>
      <b val="1"/>
      <color rgb="0010B981"/>
      <sz val="14"/>
    </font>
    <font>
      <name val="Arial"/>
      <color rgb="0094A3B8"/>
      <sz val="9"/>
    </font>
    <font>
      <name val="Arial"/>
      <b val="1"/>
      <color rgb="00334155"/>
      <sz val="9"/>
    </font>
    <font>
      <name val="Arial"/>
      <color rgb="0064748B"/>
      <sz val="8"/>
    </font>
    <font>
      <name val="Arial"/>
      <b val="1"/>
      <color rgb="000F172A"/>
      <sz val="9"/>
    </font>
    <font>
      <name val="Arial"/>
      <b val="1"/>
      <color rgb="0010B981"/>
      <sz val="8"/>
    </font>
    <font>
      <name val="Arial"/>
      <b val="1"/>
      <color rgb="001E293B"/>
      <sz val="8"/>
    </font>
    <font>
      <name val="Arial"/>
      <color rgb="001E293B"/>
      <sz val="8"/>
    </font>
    <font>
      <name val="Arial"/>
      <b val="1"/>
      <color rgb="006D28D9"/>
      <sz val="8"/>
    </font>
    <font>
      <name val="Arial"/>
      <b val="1"/>
      <color rgb="00475569"/>
      <sz val="8"/>
    </font>
    <font>
      <name val="Arial"/>
      <b val="1"/>
      <color rgb="00B91C1C"/>
      <sz val="14"/>
    </font>
    <font>
      <name val="Arial"/>
      <b val="1"/>
      <color rgb="00B45309"/>
      <sz val="14"/>
    </font>
    <font>
      <name val="Arial"/>
      <b val="1"/>
      <color rgb="006D28D9"/>
      <sz val="14"/>
    </font>
    <font>
      <name val="Arial"/>
      <b val="1"/>
      <color rgb="0094A3B8"/>
      <sz val="9"/>
    </font>
    <font>
      <name val="Arial"/>
      <b val="1"/>
      <color rgb="00FFFFFF"/>
      <sz val="10"/>
    </font>
    <font>
      <name val="Arial"/>
      <b val="1"/>
      <color rgb="00FFFFFF"/>
      <sz val="8"/>
    </font>
    <font>
      <name val="Arial"/>
      <color rgb="00000000"/>
      <sz val="8"/>
    </font>
    <font>
      <name val="Arial"/>
      <b val="1"/>
      <color rgb="00000000"/>
      <sz val="8"/>
    </font>
  </fonts>
  <fills count="20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047857"/>
      </patternFill>
    </fill>
    <fill>
      <patternFill patternType="solid">
        <fgColor rgb="00ECFDF5"/>
      </patternFill>
    </fill>
    <fill>
      <patternFill patternType="solid">
        <fgColor rgb="00F1F5F9"/>
      </patternFill>
    </fill>
    <fill>
      <patternFill patternType="solid">
        <fgColor rgb="00B91C1C"/>
      </patternFill>
    </fill>
    <fill>
      <patternFill patternType="solid">
        <fgColor rgb="00FFF1F1"/>
      </patternFill>
    </fill>
    <fill>
      <patternFill patternType="solid">
        <fgColor rgb="006D28D9"/>
      </patternFill>
    </fill>
    <fill>
      <patternFill patternType="solid">
        <fgColor rgb="00EDE9FE"/>
      </patternFill>
    </fill>
    <fill>
      <patternFill patternType="solid">
        <fgColor rgb="00B45309"/>
      </patternFill>
    </fill>
    <fill>
      <patternFill patternType="solid">
        <fgColor rgb="00FFFBEB"/>
      </patternFill>
    </fill>
    <fill>
      <patternFill patternType="solid">
        <fgColor rgb="00334155"/>
      </patternFill>
    </fill>
    <fill>
      <patternFill patternType="solid">
        <fgColor rgb="00DBEAFE"/>
      </patternFill>
    </fill>
    <fill>
      <patternFill patternType="solid">
        <fgColor rgb="00E2E8F0"/>
      </patternFill>
    </fill>
    <fill>
      <patternFill patternType="solid">
        <fgColor rgb="00F8FAFC"/>
      </patternFill>
    </fill>
    <fill>
      <patternFill patternType="solid">
        <fgColor rgb="00D1FAE5"/>
      </patternFill>
    </fill>
    <fill>
      <patternFill patternType="solid">
        <fgColor rgb="001D4ED8"/>
      </patternFill>
    </fill>
  </fills>
  <borders count="8">
    <border>
      <left/>
      <right/>
      <top/>
      <bottom/>
      <diagonal/>
    </border>
    <border>
      <left style="thin">
        <color rgb="00475569"/>
      </left>
      <right style="thin">
        <color rgb="00475569"/>
      </right>
      <top style="thin">
        <color rgb="00475569"/>
      </top>
      <bottom style="thin">
        <color rgb="00475569"/>
      </bottom>
    </border>
    <border>
      <left/>
      <right/>
      <top/>
      <bottom style="thin">
        <color rgb="00CBD5E1"/>
      </bottom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  <border>
      <left style="thin">
        <color rgb="00047857"/>
      </left>
      <right style="thin">
        <color rgb="00047857"/>
      </right>
      <top style="thin">
        <color rgb="00047857"/>
      </top>
      <bottom style="thin">
        <color rgb="00047857"/>
      </bottom>
    </border>
    <border>
      <left style="thin">
        <color rgb="00B45309"/>
      </left>
      <right style="thin">
        <color rgb="00B45309"/>
      </right>
      <top style="thin">
        <color rgb="00B45309"/>
      </top>
      <bottom style="thin">
        <color rgb="00B45309"/>
      </bottom>
    </border>
    <border>
      <left style="thin">
        <color rgb="00B91C1C"/>
      </left>
      <right style="thin">
        <color rgb="00B91C1C"/>
      </right>
      <top style="thin">
        <color rgb="00B91C1C"/>
      </top>
      <bottom style="thin">
        <color rgb="00B91C1C"/>
      </bottom>
    </border>
    <border>
      <left style="thin">
        <color rgb="000F172A"/>
      </left>
      <right style="thin">
        <color rgb="000F172A"/>
      </right>
      <top style="thin">
        <color rgb="000F172A"/>
      </top>
      <bottom style="thin">
        <color rgb="000F172A"/>
      </bottom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0" fillId="3" borderId="0" pivotButton="0" quotePrefix="0" xfId="0"/>
    <xf numFmtId="0" fontId="1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right" vertical="center"/>
    </xf>
    <xf numFmtId="0" fontId="0" fillId="2" borderId="0" pivotButton="0" quotePrefix="0" xfId="0"/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5" fillId="8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5" fillId="10" borderId="0" applyAlignment="1" pivotButton="0" quotePrefix="0" xfId="0">
      <alignment horizontal="left" vertical="center"/>
    </xf>
    <xf numFmtId="0" fontId="5" fillId="12" borderId="0" applyAlignment="1" pivotButton="0" quotePrefix="0" xfId="0">
      <alignment horizontal="left" vertical="center"/>
    </xf>
    <xf numFmtId="0" fontId="9" fillId="11" borderId="0" applyAlignment="1" pivotButton="0" quotePrefix="0" xfId="0">
      <alignment horizontal="center" vertical="center"/>
    </xf>
    <xf numFmtId="0" fontId="10" fillId="13" borderId="0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12" fillId="2" borderId="2" applyAlignment="1" pivotButton="0" quotePrefix="0" xfId="0">
      <alignment horizontal="left" vertical="center"/>
    </xf>
    <xf numFmtId="0" fontId="13" fillId="9" borderId="2" applyAlignment="1" pivotButton="0" quotePrefix="0" xfId="0">
      <alignment horizontal="center" vertical="center"/>
    </xf>
    <xf numFmtId="0" fontId="11" fillId="2" borderId="2" applyAlignment="1" pivotButton="0" quotePrefix="0" xfId="0">
      <alignment horizontal="center" vertical="center"/>
    </xf>
    <xf numFmtId="9" fontId="11" fillId="2" borderId="2" applyAlignment="1" pivotButton="0" quotePrefix="0" xfId="0">
      <alignment horizontal="center" vertical="center"/>
    </xf>
    <xf numFmtId="0" fontId="11" fillId="2" borderId="2" applyAlignment="1" pivotButton="0" quotePrefix="0" xfId="0">
      <alignment horizontal="left" vertical="center"/>
    </xf>
    <xf numFmtId="0" fontId="14" fillId="13" borderId="2" applyAlignment="1" pivotButton="0" quotePrefix="0" xfId="0">
      <alignment horizontal="center" vertical="center"/>
    </xf>
    <xf numFmtId="0" fontId="15" fillId="6" borderId="2" applyAlignment="1" pivotButton="0" quotePrefix="0" xfId="0">
      <alignment horizontal="center" vertical="center"/>
    </xf>
    <xf numFmtId="0" fontId="16" fillId="15" borderId="2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9" fontId="5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left" vertical="center"/>
    </xf>
    <xf numFmtId="0" fontId="18" fillId="6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20" fillId="13" borderId="0" applyAlignment="1" pivotButton="0" quotePrefix="0" xfId="0">
      <alignment horizontal="left" vertical="center"/>
    </xf>
    <xf numFmtId="0" fontId="21" fillId="9" borderId="0" applyAlignment="1" pivotButton="0" quotePrefix="0" xfId="0">
      <alignment horizontal="left" vertical="center"/>
    </xf>
    <xf numFmtId="0" fontId="22" fillId="3" borderId="0" applyAlignment="1" pivotButton="0" quotePrefix="0" xfId="0">
      <alignment horizontal="left" vertical="center"/>
    </xf>
    <xf numFmtId="0" fontId="23" fillId="3" borderId="0" applyAlignment="1" pivotButton="0" quotePrefix="0" xfId="0">
      <alignment horizontal="left" vertical="center"/>
    </xf>
    <xf numFmtId="0" fontId="25" fillId="2" borderId="0" applyAlignment="1" pivotButton="0" quotePrefix="0" xfId="0">
      <alignment horizontal="center" vertical="center"/>
    </xf>
    <xf numFmtId="0" fontId="24" fillId="7" borderId="3" applyAlignment="1" pivotButton="0" quotePrefix="0" xfId="0">
      <alignment horizontal="center" vertical="center"/>
    </xf>
    <xf numFmtId="0" fontId="18" fillId="6" borderId="4" applyAlignment="1" pivotButton="0" quotePrefix="0" xfId="0">
      <alignment horizontal="center" vertical="center"/>
    </xf>
    <xf numFmtId="0" fontId="20" fillId="13" borderId="5" applyAlignment="1" pivotButton="0" quotePrefix="0" xfId="0">
      <alignment horizontal="center" vertical="center"/>
    </xf>
    <xf numFmtId="0" fontId="21" fillId="9" borderId="6" applyAlignment="1" pivotButton="0" quotePrefix="0" xfId="0">
      <alignment horizontal="center" vertical="center"/>
    </xf>
    <xf numFmtId="9" fontId="26" fillId="16" borderId="7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 wrapText="1"/>
    </xf>
    <xf numFmtId="0" fontId="27" fillId="6" borderId="2" applyAlignment="1" pivotButton="0" quotePrefix="0" xfId="0">
      <alignment horizontal="center" vertical="center" wrapText="1"/>
    </xf>
    <xf numFmtId="0" fontId="15" fillId="6" borderId="2" applyAlignment="1" pivotButton="0" quotePrefix="0" xfId="0">
      <alignment horizontal="left" vertical="center" wrapText="1"/>
    </xf>
    <xf numFmtId="0" fontId="28" fillId="2" borderId="2" applyAlignment="1" pivotButton="0" quotePrefix="0" xfId="0">
      <alignment horizontal="left" vertical="center" wrapText="1"/>
    </xf>
    <xf numFmtId="0" fontId="28" fillId="2" borderId="2" applyAlignment="1" pivotButton="0" quotePrefix="0" xfId="0">
      <alignment horizontal="center" vertical="center" wrapText="1"/>
    </xf>
    <xf numFmtId="0" fontId="29" fillId="2" borderId="2" applyAlignment="1" pivotButton="0" quotePrefix="0" xfId="0">
      <alignment horizontal="center" vertical="center" wrapText="1"/>
    </xf>
    <xf numFmtId="0" fontId="29" fillId="2" borderId="2" applyAlignment="1" pivotButton="0" quotePrefix="0" xfId="0">
      <alignment horizontal="left" vertical="center" wrapText="1"/>
    </xf>
    <xf numFmtId="0" fontId="7" fillId="2" borderId="2" applyAlignment="1" pivotButton="0" quotePrefix="0" xfId="0">
      <alignment horizontal="center" vertical="center" wrapText="1"/>
    </xf>
    <xf numFmtId="0" fontId="28" fillId="17" borderId="2" applyAlignment="1" pivotButton="0" quotePrefix="0" xfId="0">
      <alignment horizontal="left" vertical="center" wrapText="1"/>
    </xf>
    <xf numFmtId="0" fontId="28" fillId="17" borderId="2" applyAlignment="1" pivotButton="0" quotePrefix="0" xfId="0">
      <alignment horizontal="center" vertical="center" wrapText="1"/>
    </xf>
    <xf numFmtId="0" fontId="29" fillId="17" borderId="2" applyAlignment="1" pivotButton="0" quotePrefix="0" xfId="0">
      <alignment horizontal="center" vertical="center" wrapText="1"/>
    </xf>
    <xf numFmtId="0" fontId="29" fillId="17" borderId="2" applyAlignment="1" pivotButton="0" quotePrefix="0" xfId="0">
      <alignment horizontal="left" vertical="center" wrapText="1"/>
    </xf>
    <xf numFmtId="0" fontId="7" fillId="17" borderId="2" applyAlignment="1" pivotButton="0" quotePrefix="0" xfId="0">
      <alignment horizontal="center" vertical="center" wrapText="1"/>
    </xf>
    <xf numFmtId="0" fontId="14" fillId="13" borderId="2" applyAlignment="1" pivotButton="0" quotePrefix="0" xfId="0">
      <alignment horizontal="left" vertical="center" wrapText="1"/>
    </xf>
    <xf numFmtId="0" fontId="13" fillId="9" borderId="2" applyAlignment="1" pivotButton="0" quotePrefix="0" xfId="0">
      <alignment horizontal="left" vertical="center" wrapText="1"/>
    </xf>
    <xf numFmtId="0" fontId="16" fillId="15" borderId="2" applyAlignment="1" pivotButton="0" quotePrefix="0" xfId="0">
      <alignment horizontal="left" vertical="center" wrapText="1"/>
    </xf>
    <xf numFmtId="0" fontId="30" fillId="11" borderId="2" applyAlignment="1" pivotButton="0" quotePrefix="0" xfId="0">
      <alignment horizontal="left" vertical="center" wrapText="1"/>
    </xf>
    <xf numFmtId="0" fontId="31" fillId="7" borderId="2" applyAlignment="1" pivotButton="0" quotePrefix="0" xfId="0">
      <alignment horizontal="left" vertical="center" wrapText="1"/>
    </xf>
    <xf numFmtId="0" fontId="32" fillId="3" borderId="0" applyAlignment="1" pivotButton="0" quotePrefix="0" xfId="0">
      <alignment horizontal="left" vertical="center"/>
    </xf>
    <xf numFmtId="0" fontId="13" fillId="9" borderId="2" applyAlignment="1" pivotButton="0" quotePrefix="0" xfId="0">
      <alignment horizontal="center" vertical="center" wrapText="1"/>
    </xf>
    <xf numFmtId="0" fontId="15" fillId="18" borderId="2" applyAlignment="1" pivotButton="0" quotePrefix="0" xfId="0">
      <alignment horizontal="left" vertical="center" wrapText="1"/>
    </xf>
    <xf numFmtId="0" fontId="33" fillId="3" borderId="0" applyAlignment="1" pivotButton="0" quotePrefix="0" xfId="0">
      <alignment horizontal="left" vertical="center"/>
    </xf>
    <xf numFmtId="0" fontId="14" fillId="13" borderId="2" applyAlignment="1" pivotButton="0" quotePrefix="0" xfId="0">
      <alignment horizontal="center" vertical="center" wrapText="1"/>
    </xf>
    <xf numFmtId="0" fontId="34" fillId="3" borderId="0" applyAlignment="1" pivotButton="0" quotePrefix="0" xfId="0">
      <alignment horizontal="left" vertical="center"/>
    </xf>
    <xf numFmtId="0" fontId="30" fillId="11" borderId="2" applyAlignment="1" pivotButton="0" quotePrefix="0" xfId="0">
      <alignment horizontal="center" vertical="center" wrapText="1"/>
    </xf>
    <xf numFmtId="0" fontId="35" fillId="3" borderId="0" applyAlignment="1" pivotButton="0" quotePrefix="0" xfId="0">
      <alignment horizontal="left" vertical="center"/>
    </xf>
    <xf numFmtId="0" fontId="36" fillId="8" borderId="0" applyAlignment="1" pivotButton="0" quotePrefix="0" xfId="0">
      <alignment horizontal="left" vertical="center"/>
    </xf>
    <xf numFmtId="0" fontId="37" fillId="14" borderId="0" applyAlignment="1" pivotButton="0" quotePrefix="0" xfId="0">
      <alignment horizontal="center" vertical="center"/>
    </xf>
    <xf numFmtId="0" fontId="38" fillId="2" borderId="2" applyAlignment="1" pivotButton="0" quotePrefix="0" xfId="0">
      <alignment horizontal="center" vertical="center" wrapText="1"/>
    </xf>
    <xf numFmtId="0" fontId="39" fillId="2" borderId="2" applyAlignment="1" pivotButton="0" quotePrefix="0" xfId="0">
      <alignment horizontal="left" vertical="center" wrapText="1"/>
    </xf>
    <xf numFmtId="0" fontId="38" fillId="2" borderId="2" applyAlignment="1" pivotButton="0" quotePrefix="0" xfId="0">
      <alignment horizontal="left" vertical="center" wrapText="1"/>
    </xf>
    <xf numFmtId="0" fontId="38" fillId="9" borderId="2" applyAlignment="1" pivotButton="0" quotePrefix="0" xfId="0">
      <alignment horizontal="center" vertical="center" wrapText="1"/>
    </xf>
    <xf numFmtId="0" fontId="39" fillId="9" borderId="2" applyAlignment="1" pivotButton="0" quotePrefix="0" xfId="0">
      <alignment horizontal="left" vertical="center" wrapText="1"/>
    </xf>
    <xf numFmtId="0" fontId="38" fillId="9" borderId="2" applyAlignment="1" pivotButton="0" quotePrefix="0" xfId="0">
      <alignment horizontal="left" vertical="center" wrapText="1"/>
    </xf>
    <xf numFmtId="0" fontId="36" fillId="12" borderId="0" applyAlignment="1" pivotButton="0" quotePrefix="0" xfId="0">
      <alignment horizontal="left" vertical="center"/>
    </xf>
    <xf numFmtId="0" fontId="38" fillId="13" borderId="2" applyAlignment="1" pivotButton="0" quotePrefix="0" xfId="0">
      <alignment horizontal="center" vertical="center" wrapText="1"/>
    </xf>
    <xf numFmtId="0" fontId="39" fillId="13" borderId="2" applyAlignment="1" pivotButton="0" quotePrefix="0" xfId="0">
      <alignment horizontal="left" vertical="center" wrapText="1"/>
    </xf>
    <xf numFmtId="0" fontId="38" fillId="13" borderId="2" applyAlignment="1" pivotButton="0" quotePrefix="0" xfId="0">
      <alignment horizontal="left" vertical="center" wrapText="1"/>
    </xf>
    <xf numFmtId="0" fontId="36" fillId="19" borderId="0" applyAlignment="1" pivotButton="0" quotePrefix="0" xfId="0">
      <alignment horizontal="left" vertical="center"/>
    </xf>
    <xf numFmtId="0" fontId="38" fillId="15" borderId="2" applyAlignment="1" pivotButton="0" quotePrefix="0" xfId="0">
      <alignment horizontal="center" vertical="center" wrapText="1"/>
    </xf>
    <xf numFmtId="0" fontId="39" fillId="15" borderId="2" applyAlignment="1" pivotButton="0" quotePrefix="0" xfId="0">
      <alignment horizontal="left" vertical="center" wrapText="1"/>
    </xf>
    <xf numFmtId="0" fontId="38" fillId="15" borderId="2" applyAlignment="1" pivotButton="0" quotePrefix="0" xfId="0">
      <alignment horizontal="left" vertical="center" wrapText="1"/>
    </xf>
    <xf numFmtId="0" fontId="36" fillId="5" borderId="0" applyAlignment="1" pivotButton="0" quotePrefix="0" xfId="0">
      <alignment horizontal="left" vertical="center"/>
    </xf>
    <xf numFmtId="0" fontId="38" fillId="6" borderId="2" applyAlignment="1" pivotButton="0" quotePrefix="0" xfId="0">
      <alignment horizontal="center" vertical="center" wrapText="1"/>
    </xf>
    <xf numFmtId="0" fontId="39" fillId="6" borderId="2" applyAlignment="1" pivotButton="0" quotePrefix="0" xfId="0">
      <alignment horizontal="left" vertical="center" wrapText="1"/>
    </xf>
    <xf numFmtId="0" fontId="38" fillId="6" borderId="2" applyAlignment="1" pivotButton="0" quotePrefix="0" xfId="0">
      <alignment horizontal="left" vertical="center" wrapText="1"/>
    </xf>
    <xf numFmtId="0" fontId="36" fillId="10" borderId="0" applyAlignment="1" pivotButton="0" quotePrefix="0" xfId="0">
      <alignment horizontal="left" vertical="center"/>
    </xf>
    <xf numFmtId="0" fontId="38" fillId="11" borderId="2" applyAlignment="1" pivotButton="0" quotePrefix="0" xfId="0">
      <alignment horizontal="center" vertical="center" wrapText="1"/>
    </xf>
    <xf numFmtId="0" fontId="39" fillId="11" borderId="2" applyAlignment="1" pivotButton="0" quotePrefix="0" xfId="0">
      <alignment horizontal="left" vertical="center" wrapText="1"/>
    </xf>
    <xf numFmtId="0" fontId="38" fillId="11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4" customWidth="1" min="3" max="3"/>
    <col width="12" customWidth="1" min="4" max="4"/>
    <col width="12" customWidth="1" min="5" max="5"/>
    <col width="12" customWidth="1" min="6" max="6"/>
    <col width="11" customWidth="1" min="7" max="7"/>
    <col width="11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3" customWidth="1" min="14" max="14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6" customHeight="1">
      <c r="A2" s="1" t="n"/>
      <c r="B2" s="2" t="inlineStr">
        <is>
          <t>REALTOUCH FINANCIAL ERP — COMPLIANCE READINESS TRACKER</t>
        </is>
      </c>
      <c r="N2" s="1" t="n"/>
    </row>
    <row r="3" ht="22" customHeight="1">
      <c r="A3" s="1" t="n"/>
      <c r="B3" s="3" t="inlineStr">
        <is>
          <t>Harvest Touch Youth &amp; Skills Community Hub CIC  |  Based on Compliance Audit Report April 2026</t>
        </is>
      </c>
      <c r="N3" s="1" t="n"/>
    </row>
    <row r="4" ht="18" customHeight="1">
      <c r="A4" s="1" t="n"/>
      <c r="B4" s="4" t="inlineStr">
        <is>
          <t>Prepared by: Realtouch Research &amp; Consulting  |  CFO: Dominic Ogbuagu</t>
        </is>
      </c>
      <c r="I4" s="5" t="inlineStr">
        <is>
          <t>Last Updated: 13 April 2026</t>
        </is>
      </c>
      <c r="N4" s="1" t="n"/>
    </row>
    <row r="5" ht="18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 ht="20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 ht="10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</row>
    <row r="9" ht="14" customHeight="1">
      <c r="A9" s="6" t="n"/>
      <c r="B9" s="7" t="inlineStr">
        <is>
          <t>OVERALL COMPLIANCE READINESS</t>
        </is>
      </c>
      <c r="N9" s="6" t="n"/>
    </row>
    <row r="10" ht="28" customHeight="1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</row>
    <row r="11" ht="14" customHeight="1">
      <c r="A11" s="6" t="n"/>
      <c r="B11" s="8" t="inlineStr">
        <is>
          <t>Financial Accounting</t>
        </is>
      </c>
      <c r="E11" s="6" t="n"/>
      <c r="F11" s="8" t="inlineStr">
        <is>
          <t>HMRC Payroll</t>
        </is>
      </c>
      <c r="I11" s="6" t="n"/>
      <c r="J11" s="9" t="inlineStr">
        <is>
          <t>HR Compliance</t>
        </is>
      </c>
      <c r="M11" s="6" t="n"/>
      <c r="N11" s="6" t="n"/>
    </row>
    <row r="12" ht="26" customHeight="1">
      <c r="A12" s="6" t="n"/>
      <c r="B12" s="10">
        <f>'P1_Financial'!B4</f>
        <v/>
      </c>
      <c r="E12" s="6" t="n"/>
      <c r="F12" s="10">
        <f>'P1_Payroll'!B4</f>
        <v/>
      </c>
      <c r="I12" s="6" t="n"/>
      <c r="J12" s="11">
        <f>'P2_HR'!B4</f>
        <v/>
      </c>
      <c r="M12" s="6" t="n"/>
      <c r="N12" s="6" t="n"/>
    </row>
    <row r="13" ht="16" customHeight="1">
      <c r="A13" s="6" t="n"/>
      <c r="B13" s="12" t="inlineStr">
        <is>
          <t>P1. Core</t>
        </is>
      </c>
      <c r="E13" s="6" t="n"/>
      <c r="F13" s="12" t="inlineStr">
        <is>
          <t>P1. Core</t>
        </is>
      </c>
      <c r="I13" s="6" t="n"/>
      <c r="J13" s="12" t="inlineStr">
        <is>
          <t>P1. Critical</t>
        </is>
      </c>
      <c r="M13" s="6" t="n"/>
      <c r="N13" s="6" t="n"/>
    </row>
    <row r="14" ht="6" customHeight="1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 ht="14" customHeight="1">
      <c r="A16" s="6" t="n"/>
      <c r="B16" s="13" t="inlineStr">
        <is>
          <t>UKVI Sponsorship</t>
        </is>
      </c>
      <c r="E16" s="6" t="n"/>
      <c r="F16" s="9" t="inlineStr">
        <is>
          <t>GDPR / Data Protection</t>
        </is>
      </c>
      <c r="I16" s="6" t="n"/>
      <c r="J16" s="14" t="inlineStr">
        <is>
          <t>Charity Commission/CIC</t>
        </is>
      </c>
      <c r="M16" s="6" t="n"/>
      <c r="N16" s="6" t="n"/>
    </row>
    <row r="17" ht="26" customHeight="1">
      <c r="A17" s="6" t="n"/>
      <c r="B17" s="15">
        <f>'P3_UKVI'!B4</f>
        <v/>
      </c>
      <c r="E17" s="6" t="n"/>
      <c r="F17" s="11">
        <f>'P2_GDPR'!B4</f>
        <v/>
      </c>
      <c r="I17" s="6" t="n"/>
      <c r="J17" s="16">
        <f>'P2_Charity'!B4</f>
        <v/>
      </c>
      <c r="M17" s="6" t="n"/>
      <c r="N17" s="6" t="n"/>
    </row>
    <row r="18" ht="16" customHeight="1">
      <c r="A18" s="6" t="n"/>
      <c r="B18" s="12" t="inlineStr">
        <is>
          <t>P3. Medium</t>
        </is>
      </c>
      <c r="E18" s="6" t="n"/>
      <c r="F18" s="12" t="inlineStr">
        <is>
          <t>P1. Critical</t>
        </is>
      </c>
      <c r="I18" s="6" t="n"/>
      <c r="J18" s="12" t="inlineStr">
        <is>
          <t>P2. High</t>
        </is>
      </c>
      <c r="M18" s="6" t="n"/>
      <c r="N18" s="6" t="n"/>
    </row>
    <row r="19" ht="6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</row>
    <row r="21" ht="14" customHeight="1">
      <c r="A21" s="6" t="n"/>
      <c r="B21" s="14" t="inlineStr">
        <is>
          <t>Data Security</t>
        </is>
      </c>
      <c r="E21" s="6" t="n"/>
      <c r="F21" s="8" t="inlineStr">
        <is>
          <t>Grant Management</t>
        </is>
      </c>
      <c r="I21" s="6" t="n"/>
      <c r="J21" s="14" t="inlineStr">
        <is>
          <t>Donation Management</t>
        </is>
      </c>
      <c r="M21" s="6" t="n"/>
      <c r="N21" s="6" t="n"/>
    </row>
    <row r="22" ht="26" customHeight="1">
      <c r="A22" s="6" t="n"/>
      <c r="B22" s="16">
        <f>'P2_Security'!B4</f>
        <v/>
      </c>
      <c r="E22" s="6" t="n"/>
      <c r="F22" s="10">
        <f>'P1_Grants'!B4</f>
        <v/>
      </c>
      <c r="I22" s="6" t="n"/>
      <c r="J22" s="16">
        <f>'P2_Donations'!B4</f>
        <v/>
      </c>
      <c r="M22" s="6" t="n"/>
      <c r="N22" s="6" t="n"/>
    </row>
    <row r="23" ht="16" customHeight="1">
      <c r="A23" s="6" t="n"/>
      <c r="B23" s="12" t="inlineStr">
        <is>
          <t>P2. High</t>
        </is>
      </c>
      <c r="E23" s="6" t="n"/>
      <c r="F23" s="12" t="inlineStr">
        <is>
          <t>P1. Core</t>
        </is>
      </c>
      <c r="I23" s="6" t="n"/>
      <c r="J23" s="12" t="inlineStr">
        <is>
          <t>P2. High</t>
        </is>
      </c>
      <c r="M23" s="6" t="n"/>
      <c r="N23" s="6" t="n"/>
    </row>
    <row r="24" ht="6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</row>
    <row r="27" ht="8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</row>
    <row r="28" ht="20" customHeight="1">
      <c r="A28" s="6" t="n"/>
      <c r="B28" s="7" t="inlineStr">
        <is>
          <t>COMPLIANCE DOMAIN SUMMARY</t>
        </is>
      </c>
      <c r="N28" s="6" t="n"/>
    </row>
    <row r="29" ht="14" customHeight="1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</row>
    <row r="30" ht="18" customHeight="1">
      <c r="A30" s="6" t="n"/>
      <c r="B30" s="17" t="inlineStr">
        <is>
          <t>Domain</t>
        </is>
      </c>
      <c r="C30" s="17" t="inlineStr">
        <is>
          <t>Priority</t>
        </is>
      </c>
      <c r="D30" s="17" t="inlineStr">
        <is>
          <t>Total Items</t>
        </is>
      </c>
      <c r="E30" s="17" t="inlineStr">
        <is>
          <t>Completed</t>
        </is>
      </c>
      <c r="F30" s="17" t="inlineStr">
        <is>
          <t>In Progress</t>
        </is>
      </c>
      <c r="G30" s="17" t="inlineStr">
        <is>
          <t>Not Started</t>
        </is>
      </c>
      <c r="H30" s="17" t="inlineStr">
        <is>
          <t>% Complete</t>
        </is>
      </c>
      <c r="I30" s="17" t="inlineStr">
        <is>
          <t>Status</t>
        </is>
      </c>
      <c r="J30" s="17" t="inlineStr">
        <is>
          <t>Target Date</t>
        </is>
      </c>
      <c r="K30" s="6" t="n"/>
      <c r="L30" s="6" t="n"/>
      <c r="M30" s="6" t="n"/>
      <c r="N30" s="6" t="n"/>
    </row>
    <row r="31" ht="16" customHeight="1">
      <c r="A31" s="6" t="n"/>
      <c r="B31" s="18" t="inlineStr">
        <is>
          <t>Financial Accounting</t>
        </is>
      </c>
      <c r="C31" s="19" t="inlineStr">
        <is>
          <t>P1 — Critical</t>
        </is>
      </c>
      <c r="D31" s="20">
        <f>COUNTA('P1_Financial'!E8:E200)</f>
        <v/>
      </c>
      <c r="E31" s="20">
        <f>COUNTIF('P1_Financial'!E8:E200,"✅ Complete")</f>
        <v/>
      </c>
      <c r="F31" s="20">
        <f>COUNTIF('P1_Financial'!E8:E200,"🔄 In Progress")</f>
        <v/>
      </c>
      <c r="G31" s="20">
        <f>COUNTIF('P1_Financial'!E8:E200,"⬜ Not Started")</f>
        <v/>
      </c>
      <c r="H31" s="21">
        <f>IFERROR(D31/C31,0)</f>
        <v/>
      </c>
      <c r="I31" s="22">
        <f>IF(G31&gt;=1,"🟢 Complete",IF(G31&gt;=0.5,"🟡 In Progress","🔴 Not Started"))</f>
        <v/>
      </c>
      <c r="J31" s="22" t="inlineStr">
        <is>
          <t>Mar 2026</t>
        </is>
      </c>
      <c r="K31" s="6" t="n"/>
      <c r="L31" s="6" t="n"/>
      <c r="M31" s="6" t="n"/>
      <c r="N31" s="6" t="n"/>
    </row>
    <row r="32" ht="16" customHeight="1">
      <c r="A32" s="6" t="n"/>
      <c r="B32" s="18" t="inlineStr">
        <is>
          <t>HMRC Payroll</t>
        </is>
      </c>
      <c r="C32" s="19" t="inlineStr">
        <is>
          <t>P1 — Critical</t>
        </is>
      </c>
      <c r="D32" s="20">
        <f>COUNTA('P1_Payroll'!E8:E200)</f>
        <v/>
      </c>
      <c r="E32" s="20">
        <f>COUNTIF('P1_Payroll'!E8:E200,"✅ Complete")</f>
        <v/>
      </c>
      <c r="F32" s="20">
        <f>COUNTIF('P1_Payroll'!E8:E200,"🔄 In Progress")</f>
        <v/>
      </c>
      <c r="G32" s="20">
        <f>COUNTIF('P1_Payroll'!E8:E200,"⬜ Not Started")</f>
        <v/>
      </c>
      <c r="H32" s="21">
        <f>IFERROR(D32/C32,0)</f>
        <v/>
      </c>
      <c r="I32" s="22">
        <f>IF(G32&gt;=1,"🟢 Complete",IF(G32&gt;=0.5,"🟡 In Progress","🔴 Not Started"))</f>
        <v/>
      </c>
      <c r="J32" s="22" t="inlineStr">
        <is>
          <t>Mar 2026</t>
        </is>
      </c>
      <c r="K32" s="6" t="n"/>
      <c r="L32" s="6" t="n"/>
      <c r="M32" s="6" t="n"/>
      <c r="N32" s="6" t="n"/>
    </row>
    <row r="33" ht="16" customHeight="1">
      <c r="A33" s="6" t="n"/>
      <c r="B33" s="18" t="inlineStr">
        <is>
          <t>HR Compliance</t>
        </is>
      </c>
      <c r="C33" s="19" t="inlineStr">
        <is>
          <t>P1 — Critical</t>
        </is>
      </c>
      <c r="D33" s="20">
        <f>COUNTA('P2_HR'!E8:E200)</f>
        <v/>
      </c>
      <c r="E33" s="20">
        <f>COUNTIF('P2_HR'!E8:E200,"✅ Complete")</f>
        <v/>
      </c>
      <c r="F33" s="20">
        <f>COUNTIF('P2_HR'!E8:E200,"🔄 In Progress")</f>
        <v/>
      </c>
      <c r="G33" s="20">
        <f>COUNTIF('P2_HR'!E8:E200,"⬜ Not Started")</f>
        <v/>
      </c>
      <c r="H33" s="21">
        <f>IFERROR(D33/C33,0)</f>
        <v/>
      </c>
      <c r="I33" s="22">
        <f>IF(G33&gt;=1,"🟢 Complete",IF(G33&gt;=0.5,"🟡 In Progress","🔴 Not Started"))</f>
        <v/>
      </c>
      <c r="J33" s="22" t="inlineStr">
        <is>
          <t>Apr 2026</t>
        </is>
      </c>
      <c r="K33" s="6" t="n"/>
      <c r="L33" s="6" t="n"/>
      <c r="M33" s="6" t="n"/>
      <c r="N33" s="6" t="n"/>
    </row>
    <row r="34" ht="16" customHeight="1">
      <c r="A34" s="6" t="n"/>
      <c r="B34" s="18" t="inlineStr">
        <is>
          <t>GDPR / Data Protection</t>
        </is>
      </c>
      <c r="C34" s="19" t="inlineStr">
        <is>
          <t>P1 — Critical</t>
        </is>
      </c>
      <c r="D34" s="20">
        <f>COUNTA('P2_GDPR'!E8:E200)</f>
        <v/>
      </c>
      <c r="E34" s="20">
        <f>COUNTIF('P2_GDPR'!E8:E200,"✅ Complete")</f>
        <v/>
      </c>
      <c r="F34" s="20">
        <f>COUNTIF('P2_GDPR'!E8:E200,"🔄 In Progress")</f>
        <v/>
      </c>
      <c r="G34" s="20">
        <f>COUNTIF('P2_GDPR'!E8:E200,"⬜ Not Started")</f>
        <v/>
      </c>
      <c r="H34" s="21">
        <f>IFERROR(D34/C34,0)</f>
        <v/>
      </c>
      <c r="I34" s="22">
        <f>IF(G34&gt;=1,"🟢 Complete",IF(G34&gt;=0.5,"🟡 In Progress","🔴 Not Started"))</f>
        <v/>
      </c>
      <c r="J34" s="22" t="inlineStr">
        <is>
          <t>Apr 2026</t>
        </is>
      </c>
      <c r="K34" s="6" t="n"/>
      <c r="L34" s="6" t="n"/>
      <c r="M34" s="6" t="n"/>
      <c r="N34" s="6" t="n"/>
    </row>
    <row r="35" ht="16" customHeight="1">
      <c r="A35" s="6" t="n"/>
      <c r="B35" s="18" t="inlineStr">
        <is>
          <t>Charity Commission/CIC</t>
        </is>
      </c>
      <c r="C35" s="23" t="inlineStr">
        <is>
          <t>P2 — High</t>
        </is>
      </c>
      <c r="D35" s="20">
        <f>COUNTA('P2_Charity'!E8:E200)</f>
        <v/>
      </c>
      <c r="E35" s="20">
        <f>COUNTIF('P2_Charity'!E8:E200,"✅ Complete")</f>
        <v/>
      </c>
      <c r="F35" s="20">
        <f>COUNTIF('P2_Charity'!E8:E200,"🔄 In Progress")</f>
        <v/>
      </c>
      <c r="G35" s="20">
        <f>COUNTIF('P2_Charity'!E8:E200,"⬜ Not Started")</f>
        <v/>
      </c>
      <c r="H35" s="21">
        <f>IFERROR(D35/C35,0)</f>
        <v/>
      </c>
      <c r="I35" s="22">
        <f>IF(G35&gt;=1,"🟢 Complete",IF(G35&gt;=0.5,"🟡 In Progress","🔴 Not Started"))</f>
        <v/>
      </c>
      <c r="J35" s="22" t="inlineStr">
        <is>
          <t>May 2026</t>
        </is>
      </c>
      <c r="K35" s="6" t="n"/>
      <c r="L35" s="6" t="n"/>
      <c r="M35" s="6" t="n"/>
      <c r="N35" s="6" t="n"/>
    </row>
    <row r="36" ht="16" customHeight="1">
      <c r="A36" s="6" t="n"/>
      <c r="B36" s="18" t="inlineStr">
        <is>
          <t>Data Security</t>
        </is>
      </c>
      <c r="C36" s="23" t="inlineStr">
        <is>
          <t>P2 — High</t>
        </is>
      </c>
      <c r="D36" s="20">
        <f>COUNTA('P2_Security'!E8:E200)</f>
        <v/>
      </c>
      <c r="E36" s="20">
        <f>COUNTIF('P2_Security'!E8:E200,"✅ Complete")</f>
        <v/>
      </c>
      <c r="F36" s="20">
        <f>COUNTIF('P2_Security'!E8:E200,"🔄 In Progress")</f>
        <v/>
      </c>
      <c r="G36" s="20">
        <f>COUNTIF('P2_Security'!E8:E200,"⬜ Not Started")</f>
        <v/>
      </c>
      <c r="H36" s="21">
        <f>IFERROR(D36/C36,0)</f>
        <v/>
      </c>
      <c r="I36" s="22">
        <f>IF(G36&gt;=1,"🟢 Complete",IF(G36&gt;=0.5,"🟡 In Progress","🔴 Not Started"))</f>
        <v/>
      </c>
      <c r="J36" s="22" t="inlineStr">
        <is>
          <t>Apr 2026</t>
        </is>
      </c>
      <c r="K36" s="6" t="n"/>
      <c r="L36" s="6" t="n"/>
      <c r="M36" s="6" t="n"/>
      <c r="N36" s="6" t="n"/>
    </row>
    <row r="37" ht="16" customHeight="1">
      <c r="A37" s="6" t="n"/>
      <c r="B37" s="18" t="inlineStr">
        <is>
          <t>Grant Management</t>
        </is>
      </c>
      <c r="C37" s="24" t="inlineStr">
        <is>
          <t>P1 — Core ✓</t>
        </is>
      </c>
      <c r="D37" s="20">
        <f>COUNTA('P1_Grants'!E8:E200)</f>
        <v/>
      </c>
      <c r="E37" s="20">
        <f>COUNTIF('P1_Grants'!E8:E200,"✅ Complete")</f>
        <v/>
      </c>
      <c r="F37" s="20">
        <f>COUNTIF('P1_Grants'!E8:E200,"🔄 In Progress")</f>
        <v/>
      </c>
      <c r="G37" s="20">
        <f>COUNTIF('P1_Grants'!E8:E200,"⬜ Not Started")</f>
        <v/>
      </c>
      <c r="H37" s="21">
        <f>IFERROR(D37/C37,0)</f>
        <v/>
      </c>
      <c r="I37" s="22">
        <f>IF(G37&gt;=1,"🟢 Complete",IF(G37&gt;=0.5,"🟡 In Progress","🔴 Not Started"))</f>
        <v/>
      </c>
      <c r="J37" s="22" t="inlineStr">
        <is>
          <t>Mar 2026</t>
        </is>
      </c>
      <c r="K37" s="6" t="n"/>
      <c r="L37" s="6" t="n"/>
      <c r="M37" s="6" t="n"/>
      <c r="N37" s="6" t="n"/>
    </row>
    <row r="38" ht="16" customHeight="1">
      <c r="A38" s="6" t="n"/>
      <c r="B38" s="18" t="inlineStr">
        <is>
          <t>Donation Management</t>
        </is>
      </c>
      <c r="C38" s="23" t="inlineStr">
        <is>
          <t>P2 — High</t>
        </is>
      </c>
      <c r="D38" s="20">
        <f>COUNTA('P2_Donations'!E8:E200)</f>
        <v/>
      </c>
      <c r="E38" s="20">
        <f>COUNTIF('P2_Donations'!E8:E200,"✅ Complete")</f>
        <v/>
      </c>
      <c r="F38" s="20">
        <f>COUNTIF('P2_Donations'!E8:E200,"🔄 In Progress")</f>
        <v/>
      </c>
      <c r="G38" s="20">
        <f>COUNTIF('P2_Donations'!E8:E200,"⬜ Not Started")</f>
        <v/>
      </c>
      <c r="H38" s="21">
        <f>IFERROR(D38/C38,0)</f>
        <v/>
      </c>
      <c r="I38" s="22">
        <f>IF(G38&gt;=1,"🟢 Complete",IF(G38&gt;=0.5,"🟡 In Progress","🔴 Not Started"))</f>
        <v/>
      </c>
      <c r="J38" s="22" t="inlineStr">
        <is>
          <t>Apr 2026</t>
        </is>
      </c>
      <c r="K38" s="6" t="n"/>
      <c r="L38" s="6" t="n"/>
      <c r="M38" s="6" t="n"/>
      <c r="N38" s="6" t="n"/>
    </row>
    <row r="39" ht="16" customHeight="1">
      <c r="A39" s="6" t="n"/>
      <c r="B39" s="18" t="inlineStr">
        <is>
          <t>UKVI Sponsorship</t>
        </is>
      </c>
      <c r="C39" s="25" t="inlineStr">
        <is>
          <t>P3 — Medium</t>
        </is>
      </c>
      <c r="D39" s="20">
        <f>COUNTA('P3_UKVI'!E8:E200)</f>
        <v/>
      </c>
      <c r="E39" s="20">
        <f>COUNTIF('P3_UKVI'!E8:E200,"✅ Complete")</f>
        <v/>
      </c>
      <c r="F39" s="20">
        <f>COUNTIF('P3_UKVI'!E8:E200,"🔄 In Progress")</f>
        <v/>
      </c>
      <c r="G39" s="20">
        <f>COUNTIF('P3_UKVI'!E8:E200,"⬜ Not Started")</f>
        <v/>
      </c>
      <c r="H39" s="21">
        <f>IFERROR(D39/C39,0)</f>
        <v/>
      </c>
      <c r="I39" s="22">
        <f>IF(G39&gt;=1,"🟢 Complete",IF(G39&gt;=0.5,"🟡 In Progress","🔴 Not Started"))</f>
        <v/>
      </c>
      <c r="J39" s="22" t="inlineStr">
        <is>
          <t>Jun 2026</t>
        </is>
      </c>
      <c r="K39" s="6" t="n"/>
      <c r="L39" s="6" t="n"/>
      <c r="M39" s="6" t="n"/>
      <c r="N39" s="6" t="n"/>
    </row>
    <row r="40" ht="18" customHeight="1">
      <c r="A40" s="6" t="n"/>
      <c r="B40" s="26" t="inlineStr">
        <is>
          <t>TOTAL</t>
        </is>
      </c>
      <c r="C40" s="26" t="inlineStr"/>
      <c r="D40" s="26">
        <f>SUM(C31:C39)</f>
        <v/>
      </c>
      <c r="E40" s="26">
        <f>SUM(D31:D39)</f>
        <v/>
      </c>
      <c r="F40" s="26">
        <f>SUM(E31:E39)</f>
        <v/>
      </c>
      <c r="G40" s="26">
        <f>SUM(F31:F39)</f>
        <v/>
      </c>
      <c r="H40" s="27">
        <f>IFERROR(D40/C40,0)</f>
        <v/>
      </c>
      <c r="I40" s="26" t="inlineStr">
        <is>
          <t>OVERALL</t>
        </is>
      </c>
      <c r="J40" s="26" t="inlineStr"/>
      <c r="K40" s="6" t="n"/>
      <c r="L40" s="6" t="n"/>
      <c r="M40" s="6" t="n"/>
      <c r="N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</row>
    <row r="42" ht="14" customHeight="1">
      <c r="A42" s="6" t="n"/>
      <c r="B42" s="28" t="inlineStr">
        <is>
          <t>KEY — STATUS DEFINITIONS</t>
        </is>
      </c>
      <c r="N42" s="6" t="n"/>
    </row>
    <row r="43" ht="14" customHeight="1">
      <c r="A43" s="6" t="n"/>
      <c r="B43" s="29" t="inlineStr">
        <is>
          <t>✅ Complete</t>
        </is>
      </c>
      <c r="C43" s="30" t="inlineStr">
        <is>
          <t>Implementation done, tested in production, evidence documented</t>
        </is>
      </c>
      <c r="N43" s="6" t="n"/>
    </row>
    <row r="44" ht="14" customHeight="1">
      <c r="A44" s="6" t="n"/>
      <c r="B44" s="31" t="inlineStr">
        <is>
          <t>🔄 In Progress</t>
        </is>
      </c>
      <c r="C44" s="30" t="inlineStr">
        <is>
          <t>Development started — code written, partial implementation</t>
        </is>
      </c>
      <c r="N44" s="6" t="n"/>
    </row>
    <row r="45" ht="14" customHeight="1">
      <c r="A45" s="6" t="n"/>
      <c r="B45" s="32" t="inlineStr">
        <is>
          <t>⬜ Not Started</t>
        </is>
      </c>
      <c r="C45" s="30" t="inlineStr">
        <is>
          <t>Not yet begun — identified as required, awaiting development</t>
        </is>
      </c>
      <c r="N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</row>
  </sheetData>
  <mergeCells count="37">
    <mergeCell ref="B11:D11"/>
    <mergeCell ref="B2:M2"/>
    <mergeCell ref="B42:M42"/>
    <mergeCell ref="F18:H18"/>
    <mergeCell ref="B23:D23"/>
    <mergeCell ref="B17:D17"/>
    <mergeCell ref="B13:D13"/>
    <mergeCell ref="F17:H17"/>
    <mergeCell ref="J11:L11"/>
    <mergeCell ref="C45:M45"/>
    <mergeCell ref="F23:H23"/>
    <mergeCell ref="J16:L16"/>
    <mergeCell ref="F22:H22"/>
    <mergeCell ref="B28:M28"/>
    <mergeCell ref="F13:H13"/>
    <mergeCell ref="B4:H4"/>
    <mergeCell ref="J22:L22"/>
    <mergeCell ref="B9:M9"/>
    <mergeCell ref="J12:L12"/>
    <mergeCell ref="C44:M44"/>
    <mergeCell ref="J21:L21"/>
    <mergeCell ref="C43:M43"/>
    <mergeCell ref="J18:L18"/>
    <mergeCell ref="J23:L23"/>
    <mergeCell ref="J17:L17"/>
    <mergeCell ref="F11:H11"/>
    <mergeCell ref="B16:D16"/>
    <mergeCell ref="I4:M4"/>
    <mergeCell ref="F16:H16"/>
    <mergeCell ref="B3:M3"/>
    <mergeCell ref="J13:L13"/>
    <mergeCell ref="B22:D22"/>
    <mergeCell ref="B18:D18"/>
    <mergeCell ref="B21:D21"/>
    <mergeCell ref="F12:H12"/>
    <mergeCell ref="B12:D12"/>
    <mergeCell ref="F21:H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0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7" customWidth="1" min="2" max="2"/>
    <col width="18" customWidth="1" min="3" max="3"/>
    <col width="32" customWidth="1" min="4" max="4"/>
    <col width="45" customWidth="1" min="5" max="5"/>
    <col width="16" customWidth="1" min="6" max="6"/>
    <col width="14" customWidth="1" min="7" max="7"/>
    <col width="12" customWidth="1" min="8" max="8"/>
    <col width="28" customWidth="1" min="9" max="9"/>
    <col width="14" customWidth="1" min="10" max="10"/>
    <col width="24" customWidth="1" min="11" max="11"/>
    <col width="2" customWidth="1" min="12" max="12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0" customHeight="1">
      <c r="A2" s="1" t="n"/>
      <c r="B2" s="33" t="inlineStr">
        <is>
          <t>FINANCIAL ACCOUNTING  —  COMPLIANCE CHECKLIST</t>
        </is>
      </c>
    </row>
    <row r="3" ht="18" customHeight="1">
      <c r="A3" s="1" t="n"/>
      <c r="B3" s="34" t="inlineStr">
        <is>
          <t>Core accounting engine, fund accounting, SORP compliance, year-end close, and statutory reporting</t>
        </is>
      </c>
    </row>
    <row r="4" ht="16" customHeight="1">
      <c r="A4" s="1" t="n"/>
      <c r="B4" s="4">
        <f>IFERROR(F7,0)</f>
        <v/>
      </c>
      <c r="G4" s="5" t="inlineStr">
        <is>
          <t>Regulatory Basis: FRS 102 · Charities SORP · Charity Commission · HMRC</t>
        </is>
      </c>
    </row>
    <row r="5" ht="14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 ht="10" customHeight="1">
      <c r="A6" s="1" t="n"/>
      <c r="B6" s="35" t="inlineStr">
        <is>
          <t>Total Items</t>
        </is>
      </c>
      <c r="C6" s="35" t="inlineStr">
        <is>
          <t>✅ Complete</t>
        </is>
      </c>
      <c r="D6" s="35" t="inlineStr">
        <is>
          <t>🔄 In Progress</t>
        </is>
      </c>
      <c r="E6" s="35" t="inlineStr">
        <is>
          <t>⬜ Not Started</t>
        </is>
      </c>
      <c r="F6" s="35" t="inlineStr">
        <is>
          <t>% Complete</t>
        </is>
      </c>
      <c r="G6" s="1" t="n"/>
      <c r="H6" s="1" t="n"/>
      <c r="I6" s="1" t="n"/>
      <c r="J6" s="1" t="n"/>
      <c r="K6" s="1" t="n"/>
      <c r="L6" s="1" t="n"/>
    </row>
    <row r="7" ht="20" customHeight="1">
      <c r="A7" s="6" t="n"/>
      <c r="B7" s="36">
        <f>COUNTA(E8:E500)</f>
        <v/>
      </c>
      <c r="C7" s="37">
        <f>COUNTIF(E8:E500,"✅ Complete")</f>
        <v/>
      </c>
      <c r="D7" s="38">
        <f>COUNTIF(E8:E500,"🔄 In Progress")</f>
        <v/>
      </c>
      <c r="E7" s="39">
        <f>COUNTIF(E8:E500,"⬜ Not Started")</f>
        <v/>
      </c>
      <c r="F7" s="40">
        <f>IFERROR(C7/B7,0)</f>
        <v/>
      </c>
      <c r="G7" s="6" t="n"/>
      <c r="H7" s="6" t="n"/>
      <c r="I7" s="6" t="n"/>
      <c r="J7" s="6" t="n"/>
      <c r="K7" s="6" t="n"/>
      <c r="L7" s="6" t="n"/>
    </row>
    <row r="8" ht="20" customHeight="1">
      <c r="A8" s="6" t="n"/>
      <c r="B8" s="41" t="inlineStr">
        <is>
          <t>Ref</t>
        </is>
      </c>
      <c r="C8" s="41" t="inlineStr">
        <is>
          <t>Category</t>
        </is>
      </c>
      <c r="D8" s="41" t="inlineStr">
        <is>
          <t>Requirement</t>
        </is>
      </c>
      <c r="E8" s="41" t="inlineStr">
        <is>
          <t>Detail / What is Needed</t>
        </is>
      </c>
      <c r="F8" s="41" t="inlineStr">
        <is>
          <t>Status</t>
        </is>
      </c>
      <c r="G8" s="41" t="inlineStr">
        <is>
          <t>Owner</t>
        </is>
      </c>
      <c r="H8" s="41" t="inlineStr">
        <is>
          <t>Target Date</t>
        </is>
      </c>
      <c r="I8" s="41" t="inlineStr">
        <is>
          <t>Evidence Required</t>
        </is>
      </c>
      <c r="J8" s="41" t="inlineStr">
        <is>
          <t>Date Completed</t>
        </is>
      </c>
      <c r="K8" s="41" t="inlineStr">
        <is>
          <t>Notes</t>
        </is>
      </c>
      <c r="L8" s="6" t="n"/>
    </row>
    <row r="9" ht="32" customHeight="1">
      <c r="A9" s="6" t="n"/>
      <c r="B9" s="42" t="inlineStr">
        <is>
          <t>FA-01</t>
        </is>
      </c>
      <c r="C9" s="43" t="inlineStr">
        <is>
          <t>Accounting Engine</t>
        </is>
      </c>
      <c r="D9" s="44" t="inlineStr">
        <is>
          <t>Double-entry bookkeeping enforced</t>
        </is>
      </c>
      <c r="E9" s="43" t="inlineStr">
        <is>
          <t>Every journal entry must balance — debits must equal credits. Validation exists in journal-entry endpoint.</t>
        </is>
      </c>
      <c r="F9" s="45" t="inlineStr">
        <is>
          <t>✅ Complete</t>
        </is>
      </c>
      <c r="G9" s="46" t="inlineStr">
        <is>
          <t>Tech Lead</t>
        </is>
      </c>
      <c r="H9" s="46" t="inlineStr">
        <is>
          <t>Live</t>
        </is>
      </c>
      <c r="I9" s="47" t="inlineStr">
        <is>
          <t>Test results + code review</t>
        </is>
      </c>
      <c r="J9" s="48" t="inlineStr"/>
      <c r="K9" s="47" t="inlineStr">
        <is>
          <t>Implemented and tested</t>
        </is>
      </c>
      <c r="L9" s="6" t="n"/>
    </row>
    <row r="10" ht="32" customHeight="1">
      <c r="A10" s="6" t="n"/>
      <c r="B10" s="42" t="inlineStr">
        <is>
          <t>FA-02</t>
        </is>
      </c>
      <c r="C10" s="43" t="inlineStr">
        <is>
          <t>Accounting Engine</t>
        </is>
      </c>
      <c r="D10" s="49" t="inlineStr">
        <is>
          <t>Chart of accounts (5 account types)</t>
        </is>
      </c>
      <c r="E10" s="43" t="inlineStr">
        <is>
          <t>Asset, Liability, Equity, Income, Expense account types with code and name</t>
        </is>
      </c>
      <c r="F10" s="50" t="inlineStr">
        <is>
          <t>✅ Complete</t>
        </is>
      </c>
      <c r="G10" s="51" t="inlineStr">
        <is>
          <t>Tech Lead</t>
        </is>
      </c>
      <c r="H10" s="51" t="inlineStr">
        <is>
          <t>Live</t>
        </is>
      </c>
      <c r="I10" s="52" t="inlineStr">
        <is>
          <t>Code review</t>
        </is>
      </c>
      <c r="J10" s="53" t="inlineStr"/>
      <c r="K10" s="52" t="inlineStr">
        <is>
          <t>Full chart in seed data</t>
        </is>
      </c>
      <c r="L10" s="6" t="n"/>
    </row>
    <row r="11" ht="32" customHeight="1">
      <c r="A11" s="6" t="n"/>
      <c r="B11" s="42" t="inlineStr">
        <is>
          <t>FA-03</t>
        </is>
      </c>
      <c r="C11" s="43" t="inlineStr">
        <is>
          <t>Accounting Engine</t>
        </is>
      </c>
      <c r="D11" s="44" t="inlineStr">
        <is>
          <t>Journal entries with reference numbering</t>
        </is>
      </c>
      <c r="E11" s="43" t="inlineStr">
        <is>
          <t>Sequenced reference (JE-2025-0001) and status tracking (draft/posted/voided)</t>
        </is>
      </c>
      <c r="F11" s="45" t="inlineStr">
        <is>
          <t>✅ Complete</t>
        </is>
      </c>
      <c r="G11" s="46" t="inlineStr">
        <is>
          <t>Tech Lead</t>
        </is>
      </c>
      <c r="H11" s="46" t="inlineStr">
        <is>
          <t>Live</t>
        </is>
      </c>
      <c r="I11" s="47" t="inlineStr">
        <is>
          <t>Code review</t>
        </is>
      </c>
      <c r="J11" s="48" t="inlineStr"/>
      <c r="K11" s="47" t="inlineStr"/>
      <c r="L11" s="6" t="n"/>
    </row>
    <row r="12" ht="32" customHeight="1">
      <c r="A12" s="6" t="n"/>
      <c r="B12" s="42" t="inlineStr">
        <is>
          <t>FA-04</t>
        </is>
      </c>
      <c r="C12" s="43" t="inlineStr">
        <is>
          <t>Accounting Engine</t>
        </is>
      </c>
      <c r="D12" s="49" t="inlineStr">
        <is>
          <t>Grant-coded transactions</t>
        </is>
      </c>
      <c r="E12" s="43" t="inlineStr">
        <is>
          <t>Every transaction and journal line tagged with grant_id and programme_id</t>
        </is>
      </c>
      <c r="F12" s="50" t="inlineStr">
        <is>
          <t>✅ Complete</t>
        </is>
      </c>
      <c r="G12" s="51" t="inlineStr">
        <is>
          <t>Tech Lead</t>
        </is>
      </c>
      <c r="H12" s="51" t="inlineStr">
        <is>
          <t>Live</t>
        </is>
      </c>
      <c r="I12" s="52" t="inlineStr">
        <is>
          <t>Code review</t>
        </is>
      </c>
      <c r="J12" s="53" t="inlineStr"/>
      <c r="K12" s="52" t="inlineStr">
        <is>
          <t>Essential for funder reporting</t>
        </is>
      </c>
      <c r="L12" s="6" t="n"/>
    </row>
    <row r="13" ht="32" customHeight="1">
      <c r="A13" s="6" t="n"/>
      <c r="B13" s="42" t="inlineStr">
        <is>
          <t>FA-05</t>
        </is>
      </c>
      <c r="C13" s="54" t="inlineStr">
        <is>
          <t>Bank Reconciliation</t>
        </is>
      </c>
      <c r="D13" s="44" t="inlineStr">
        <is>
          <t>Bank account model</t>
        </is>
      </c>
      <c r="E13" s="43" t="inlineStr">
        <is>
          <t>Bank accounts, sort codes, balances modelled in database</t>
        </is>
      </c>
      <c r="F13" s="45" t="inlineStr">
        <is>
          <t>✅ Complete</t>
        </is>
      </c>
      <c r="G13" s="46" t="inlineStr">
        <is>
          <t>Tech Lead</t>
        </is>
      </c>
      <c r="H13" s="46" t="inlineStr">
        <is>
          <t>Live</t>
        </is>
      </c>
      <c r="I13" s="47" t="inlineStr">
        <is>
          <t>Code review</t>
        </is>
      </c>
      <c r="J13" s="48" t="inlineStr"/>
      <c r="K13" s="47" t="inlineStr"/>
      <c r="L13" s="6" t="n"/>
    </row>
    <row r="14" ht="32" customHeight="1">
      <c r="A14" s="6" t="n"/>
      <c r="B14" s="42" t="inlineStr">
        <is>
          <t>FA-06</t>
        </is>
      </c>
      <c r="C14" s="54" t="inlineStr">
        <is>
          <t>Bank Reconciliation</t>
        </is>
      </c>
      <c r="D14" s="49" t="inlineStr">
        <is>
          <t>Bank reconciliation workflow</t>
        </is>
      </c>
      <c r="E14" s="54" t="inlineStr">
        <is>
          <t>UI and API for matching bank transactions to journal entries</t>
        </is>
      </c>
      <c r="F14" s="50" t="inlineStr">
        <is>
          <t>🔄 In Progress</t>
        </is>
      </c>
      <c r="G14" s="51" t="inlineStr">
        <is>
          <t>Tech Lead</t>
        </is>
      </c>
      <c r="H14" s="51" t="inlineStr">
        <is>
          <t>Apr 2026</t>
        </is>
      </c>
      <c r="I14" s="52" t="inlineStr">
        <is>
          <t>Functional testing</t>
        </is>
      </c>
      <c r="J14" s="53" t="inlineStr"/>
      <c r="K14" s="52" t="inlineStr">
        <is>
          <t>Manual matching only — no auto-match</t>
        </is>
      </c>
      <c r="L14" s="6" t="n"/>
    </row>
    <row r="15" ht="32" customHeight="1">
      <c r="A15" s="6" t="n"/>
      <c r="B15" s="42" t="inlineStr">
        <is>
          <t>FA-07</t>
        </is>
      </c>
      <c r="C15" s="54" t="inlineStr">
        <is>
          <t>Bank Reconciliation</t>
        </is>
      </c>
      <c r="D15" s="44" t="inlineStr">
        <is>
          <t>Period lock after reconciliation</t>
        </is>
      </c>
      <c r="E15" s="55" t="inlineStr">
        <is>
          <t>Prevent posting transactions on or before a reconciled lock date</t>
        </is>
      </c>
      <c r="F15" s="45" t="inlineStr">
        <is>
          <t>⬜ Not Started</t>
        </is>
      </c>
      <c r="G15" s="46" t="inlineStr">
        <is>
          <t>Tech Lead</t>
        </is>
      </c>
      <c r="H15" s="46" t="inlineStr">
        <is>
          <t>May 2026</t>
        </is>
      </c>
      <c r="I15" s="47" t="inlineStr">
        <is>
          <t>Testing + audit trail evidence</t>
        </is>
      </c>
      <c r="J15" s="48" t="inlineStr"/>
      <c r="K15" s="47" t="inlineStr">
        <is>
          <t>Add lock_date field to BankAccount model</t>
        </is>
      </c>
      <c r="L15" s="6" t="n"/>
    </row>
    <row r="16" ht="32" customHeight="1">
      <c r="A16" s="6" t="n"/>
      <c r="B16" s="42" t="inlineStr">
        <is>
          <t>FA-08</t>
        </is>
      </c>
      <c r="C16" s="55" t="inlineStr">
        <is>
          <t>Fund Accounting</t>
        </is>
      </c>
      <c r="D16" s="49" t="inlineStr">
        <is>
          <t>Restricted fund tracking</t>
        </is>
      </c>
      <c r="E16" s="55" t="inlineStr">
        <is>
          <t>Separate Fund model with fund_type: restricted/unrestricted/endowment</t>
        </is>
      </c>
      <c r="F16" s="50" t="inlineStr">
        <is>
          <t>⬜ Not Started</t>
        </is>
      </c>
      <c r="G16" s="51" t="inlineStr">
        <is>
          <t>Tech Lead</t>
        </is>
      </c>
      <c r="H16" s="51" t="inlineStr">
        <is>
          <t>Apr 2026</t>
        </is>
      </c>
      <c r="I16" s="52" t="inlineStr">
        <is>
          <t>Charity Commission SORP compliance test</t>
        </is>
      </c>
      <c r="J16" s="53" t="inlineStr"/>
      <c r="K16" s="52" t="inlineStr">
        <is>
          <t>CRITICAL for grant-funded CIC — required by Charities SORP</t>
        </is>
      </c>
      <c r="L16" s="6" t="n"/>
    </row>
    <row r="17" ht="32" customHeight="1">
      <c r="A17" s="6" t="n"/>
      <c r="B17" s="42" t="inlineStr">
        <is>
          <t>FA-09</t>
        </is>
      </c>
      <c r="C17" s="55" t="inlineStr">
        <is>
          <t>Fund Accounting</t>
        </is>
      </c>
      <c r="D17" s="44" t="inlineStr">
        <is>
          <t>Fund_id on all transactions</t>
        </is>
      </c>
      <c r="E17" s="55" t="inlineStr">
        <is>
          <t>Every transaction, journal line, and expense tagged with fund_id</t>
        </is>
      </c>
      <c r="F17" s="45" t="inlineStr">
        <is>
          <t>⬜ Not Started</t>
        </is>
      </c>
      <c r="G17" s="46" t="inlineStr">
        <is>
          <t>Tech Lead</t>
        </is>
      </c>
      <c r="H17" s="46" t="inlineStr">
        <is>
          <t>Apr 2026</t>
        </is>
      </c>
      <c r="I17" s="47" t="inlineStr">
        <is>
          <t>Data model review</t>
        </is>
      </c>
      <c r="J17" s="48" t="inlineStr"/>
      <c r="K17" s="47" t="inlineStr">
        <is>
          <t>Depends on FA-08</t>
        </is>
      </c>
      <c r="L17" s="6" t="n"/>
    </row>
    <row r="18" ht="32" customHeight="1">
      <c r="A18" s="6" t="n"/>
      <c r="B18" s="42" t="inlineStr">
        <is>
          <t>FA-10</t>
        </is>
      </c>
      <c r="C18" s="56" t="inlineStr">
        <is>
          <t>Statutory Reporting</t>
        </is>
      </c>
      <c r="D18" s="49" t="inlineStr">
        <is>
          <t>Statement of Financial Activities (SoFA)</t>
        </is>
      </c>
      <c r="E18" s="55" t="inlineStr">
        <is>
          <t>SORP-compliant SoFA grouping income/expenditure by fund type</t>
        </is>
      </c>
      <c r="F18" s="50" t="inlineStr">
        <is>
          <t>⬜ Not Started</t>
        </is>
      </c>
      <c r="G18" s="51" t="inlineStr">
        <is>
          <t>Tech Lead</t>
        </is>
      </c>
      <c r="H18" s="51" t="inlineStr">
        <is>
          <t>May 2026</t>
        </is>
      </c>
      <c r="I18" s="52" t="inlineStr">
        <is>
          <t>Accountant sign-off</t>
        </is>
      </c>
      <c r="J18" s="53" t="inlineStr"/>
      <c r="K18" s="52" t="inlineStr">
        <is>
          <t>Required for Charity Commission annual return</t>
        </is>
      </c>
      <c r="L18" s="6" t="n"/>
    </row>
    <row r="19" ht="32" customHeight="1">
      <c r="A19" s="6" t="n"/>
      <c r="B19" s="42" t="inlineStr">
        <is>
          <t>FA-11</t>
        </is>
      </c>
      <c r="C19" s="56" t="inlineStr">
        <is>
          <t>Statutory Reporting</t>
        </is>
      </c>
      <c r="D19" s="44" t="inlineStr">
        <is>
          <t>Balance Sheet in FRS 102 format</t>
        </is>
      </c>
      <c r="E19" s="55" t="inlineStr">
        <is>
          <t>Assets, liabilities, net assets in UK GAAP / FRS 102 format</t>
        </is>
      </c>
      <c r="F19" s="45" t="inlineStr">
        <is>
          <t>⬜ Not Started</t>
        </is>
      </c>
      <c r="G19" s="46" t="inlineStr">
        <is>
          <t>CFO</t>
        </is>
      </c>
      <c r="H19" s="46" t="inlineStr">
        <is>
          <t>May 2026</t>
        </is>
      </c>
      <c r="I19" s="47" t="inlineStr">
        <is>
          <t>Independent examiner review</t>
        </is>
      </c>
      <c r="J19" s="48" t="inlineStr"/>
      <c r="K19" s="47" t="inlineStr"/>
      <c r="L19" s="6" t="n"/>
    </row>
    <row r="20" ht="32" customHeight="1">
      <c r="A20" s="6" t="n"/>
      <c r="B20" s="42" t="inlineStr">
        <is>
          <t>FA-12</t>
        </is>
      </c>
      <c r="C20" s="56" t="inlineStr">
        <is>
          <t>Statutory Reporting</t>
        </is>
      </c>
      <c r="D20" s="49" t="inlineStr">
        <is>
          <t>Year-end close process</t>
        </is>
      </c>
      <c r="E20" s="55" t="inlineStr">
        <is>
          <t>Ability to lock a financial year, carry forward balances, produce trial balance</t>
        </is>
      </c>
      <c r="F20" s="50" t="inlineStr">
        <is>
          <t>⬜ Not Started</t>
        </is>
      </c>
      <c r="G20" s="51" t="inlineStr">
        <is>
          <t>Tech Lead</t>
        </is>
      </c>
      <c r="H20" s="51" t="inlineStr">
        <is>
          <t>Jun 2026</t>
        </is>
      </c>
      <c r="I20" s="52" t="inlineStr">
        <is>
          <t>Audit test</t>
        </is>
      </c>
      <c r="J20" s="53" t="inlineStr"/>
      <c r="K20" s="52" t="inlineStr">
        <is>
          <t>Required before independent examiner can sign off</t>
        </is>
      </c>
      <c r="L20" s="6" t="n"/>
    </row>
    <row r="21" ht="32" customHeight="1">
      <c r="A21" s="6" t="n"/>
      <c r="B21" s="42" t="inlineStr">
        <is>
          <t>FA-13</t>
        </is>
      </c>
      <c r="C21" s="56" t="inlineStr">
        <is>
          <t>Statutory Reporting</t>
        </is>
      </c>
      <c r="D21" s="44" t="inlineStr">
        <is>
          <t>Dormant account detection</t>
        </is>
      </c>
      <c r="E21" s="55" t="inlineStr">
        <is>
          <t>Flag accounts with zero movement for 12+ months in reporting</t>
        </is>
      </c>
      <c r="F21" s="45" t="inlineStr">
        <is>
          <t>⬜ Not Started</t>
        </is>
      </c>
      <c r="G21" s="46" t="inlineStr">
        <is>
          <t>Tech Lead</t>
        </is>
      </c>
      <c r="H21" s="46" t="inlineStr">
        <is>
          <t>Jun 2026</t>
        </is>
      </c>
      <c r="I21" s="47" t="inlineStr">
        <is>
          <t>Code review</t>
        </is>
      </c>
      <c r="J21" s="48" t="inlineStr"/>
      <c r="K21" s="47" t="inlineStr">
        <is>
          <t>Best practice for audit cleanliness</t>
        </is>
      </c>
      <c r="L21" s="6" t="n"/>
    </row>
    <row r="22" ht="32" customHeight="1">
      <c r="A22" s="6" t="n"/>
      <c r="B22" s="42" t="inlineStr">
        <is>
          <t>FA-14</t>
        </is>
      </c>
      <c r="C22" s="57" t="inlineStr">
        <is>
          <t>VAT</t>
        </is>
      </c>
      <c r="D22" s="49" t="inlineStr">
        <is>
          <t>VAT return model</t>
        </is>
      </c>
      <c r="E22" s="55" t="inlineStr">
        <is>
          <t>VAT period, output/input VAT, net VAT, MTD submission reference</t>
        </is>
      </c>
      <c r="F22" s="50" t="inlineStr">
        <is>
          <t>⬜ Not Started</t>
        </is>
      </c>
      <c r="G22" s="51" t="inlineStr">
        <is>
          <t>Tech Lead</t>
        </is>
      </c>
      <c r="H22" s="51" t="inlineStr">
        <is>
          <t>Jul 2026</t>
        </is>
      </c>
      <c r="I22" s="52" t="inlineStr">
        <is>
          <t>HMRC VAT portal test</t>
        </is>
      </c>
      <c r="J22" s="53" t="inlineStr"/>
      <c r="K22" s="52" t="inlineStr">
        <is>
          <t>May not apply to HT now — build for multi-tenant SaaS</t>
        </is>
      </c>
      <c r="L22" s="6" t="n"/>
    </row>
    <row r="23" ht="32" customHeight="1">
      <c r="A23" s="6" t="n"/>
      <c r="B23" s="42" t="inlineStr">
        <is>
          <t>FA-15</t>
        </is>
      </c>
      <c r="C23" s="57" t="inlineStr">
        <is>
          <t>VAT</t>
        </is>
      </c>
      <c r="D23" s="44" t="inlineStr">
        <is>
          <t>Making Tax Digital (MTD) integration</t>
        </is>
      </c>
      <c r="E23" s="55" t="inlineStr">
        <is>
          <t>API integration with HMRC MTD endpoint for digital VAT submission</t>
        </is>
      </c>
      <c r="F23" s="45" t="inlineStr">
        <is>
          <t>⬜ Not Started</t>
        </is>
      </c>
      <c r="G23" s="46" t="inlineStr">
        <is>
          <t>Tech Lead</t>
        </is>
      </c>
      <c r="H23" s="46" t="inlineStr">
        <is>
          <t>Sep 2026</t>
        </is>
      </c>
      <c r="I23" s="47" t="inlineStr">
        <is>
          <t>HMRC MTD sandbox test</t>
        </is>
      </c>
      <c r="J23" s="48" t="inlineStr"/>
      <c r="K23" s="47" t="inlineStr">
        <is>
          <t>Required if turnover exceeds £90k</t>
        </is>
      </c>
      <c r="L23" s="6" t="n"/>
    </row>
    <row r="24" ht="32" customHeight="1">
      <c r="A24" s="6" t="n"/>
      <c r="B24" s="42" t="inlineStr">
        <is>
          <t>FA-16</t>
        </is>
      </c>
      <c r="C24" s="58" t="inlineStr">
        <is>
          <t>Related Parties</t>
        </is>
      </c>
      <c r="D24" s="49" t="inlineStr">
        <is>
          <t>Related party transaction disclosure</t>
        </is>
      </c>
      <c r="E24" s="55" t="inlineStr">
        <is>
          <t>Record and flag any financial transactions with trustees or connected persons</t>
        </is>
      </c>
      <c r="F24" s="50" t="inlineStr">
        <is>
          <t>⬜ Not Started</t>
        </is>
      </c>
      <c r="G24" s="51" t="inlineStr">
        <is>
          <t>CFO</t>
        </is>
      </c>
      <c r="H24" s="51" t="inlineStr">
        <is>
          <t>Jun 2026</t>
        </is>
      </c>
      <c r="I24" s="52" t="inlineStr">
        <is>
          <t>Charity Commission guidance CC29</t>
        </is>
      </c>
      <c r="J24" s="53" t="inlineStr"/>
      <c r="K24" s="52" t="inlineStr">
        <is>
          <t>Required disclosure in annual accounts</t>
        </is>
      </c>
      <c r="L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</row>
  </sheetData>
  <mergeCells count="4">
    <mergeCell ref="B2:L2"/>
    <mergeCell ref="B4:F4"/>
    <mergeCell ref="G4:L4"/>
    <mergeCell ref="B3:L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0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7" customWidth="1" min="2" max="2"/>
    <col width="18" customWidth="1" min="3" max="3"/>
    <col width="32" customWidth="1" min="4" max="4"/>
    <col width="45" customWidth="1" min="5" max="5"/>
    <col width="16" customWidth="1" min="6" max="6"/>
    <col width="14" customWidth="1" min="7" max="7"/>
    <col width="12" customWidth="1" min="8" max="8"/>
    <col width="28" customWidth="1" min="9" max="9"/>
    <col width="14" customWidth="1" min="10" max="10"/>
    <col width="24" customWidth="1" min="11" max="11"/>
    <col width="2" customWidth="1" min="12" max="12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0" customHeight="1">
      <c r="A2" s="1" t="n"/>
      <c r="B2" s="59" t="inlineStr">
        <is>
          <t>HMRC PAYROLL COMPLIANCE  —  COMPLIANCE CHECKLIST</t>
        </is>
      </c>
    </row>
    <row r="3" ht="18" customHeight="1">
      <c r="A3" s="1" t="n"/>
      <c r="B3" s="34" t="inlineStr">
        <is>
          <t>PAYE, NI, pension, RTI filing, statutory documents (P60/P45/P11D), NMW validation, SSP/SMP</t>
        </is>
      </c>
    </row>
    <row r="4" ht="16" customHeight="1">
      <c r="A4" s="1" t="n"/>
      <c r="B4" s="4">
        <f>IFERROR(F7,0)</f>
        <v/>
      </c>
      <c r="G4" s="5" t="inlineStr">
        <is>
          <t>Regulatory Basis: HMRC PAYE · Employment Rights Act 1996 · National Minimum Wage Act 1998 · The Pensions Regulator</t>
        </is>
      </c>
    </row>
    <row r="5" ht="14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 ht="10" customHeight="1">
      <c r="A6" s="1" t="n"/>
      <c r="B6" s="35" t="inlineStr">
        <is>
          <t>Total Items</t>
        </is>
      </c>
      <c r="C6" s="35" t="inlineStr">
        <is>
          <t>✅ Complete</t>
        </is>
      </c>
      <c r="D6" s="35" t="inlineStr">
        <is>
          <t>🔄 In Progress</t>
        </is>
      </c>
      <c r="E6" s="35" t="inlineStr">
        <is>
          <t>⬜ Not Started</t>
        </is>
      </c>
      <c r="F6" s="35" t="inlineStr">
        <is>
          <t>% Complete</t>
        </is>
      </c>
      <c r="G6" s="1" t="n"/>
      <c r="H6" s="1" t="n"/>
      <c r="I6" s="1" t="n"/>
      <c r="J6" s="1" t="n"/>
      <c r="K6" s="1" t="n"/>
      <c r="L6" s="1" t="n"/>
    </row>
    <row r="7" ht="20" customHeight="1">
      <c r="A7" s="6" t="n"/>
      <c r="B7" s="36">
        <f>COUNTA(E8:E500)</f>
        <v/>
      </c>
      <c r="C7" s="37">
        <f>COUNTIF(E8:E500,"✅ Complete")</f>
        <v/>
      </c>
      <c r="D7" s="38">
        <f>COUNTIF(E8:E500,"🔄 In Progress")</f>
        <v/>
      </c>
      <c r="E7" s="39">
        <f>COUNTIF(E8:E500,"⬜ Not Started")</f>
        <v/>
      </c>
      <c r="F7" s="40">
        <f>IFERROR(C7/B7,0)</f>
        <v/>
      </c>
      <c r="G7" s="6" t="n"/>
      <c r="H7" s="6" t="n"/>
      <c r="I7" s="6" t="n"/>
      <c r="J7" s="6" t="n"/>
      <c r="K7" s="6" t="n"/>
      <c r="L7" s="6" t="n"/>
    </row>
    <row r="8" ht="20" customHeight="1">
      <c r="A8" s="6" t="n"/>
      <c r="B8" s="41" t="inlineStr">
        <is>
          <t>Ref</t>
        </is>
      </c>
      <c r="C8" s="41" t="inlineStr">
        <is>
          <t>Category</t>
        </is>
      </c>
      <c r="D8" s="41" t="inlineStr">
        <is>
          <t>Requirement</t>
        </is>
      </c>
      <c r="E8" s="41" t="inlineStr">
        <is>
          <t>Detail / What is Needed</t>
        </is>
      </c>
      <c r="F8" s="41" t="inlineStr">
        <is>
          <t>Status</t>
        </is>
      </c>
      <c r="G8" s="41" t="inlineStr">
        <is>
          <t>Owner</t>
        </is>
      </c>
      <c r="H8" s="41" t="inlineStr">
        <is>
          <t>Target Date</t>
        </is>
      </c>
      <c r="I8" s="41" t="inlineStr">
        <is>
          <t>Evidence Required</t>
        </is>
      </c>
      <c r="J8" s="41" t="inlineStr">
        <is>
          <t>Date Completed</t>
        </is>
      </c>
      <c r="K8" s="41" t="inlineStr">
        <is>
          <t>Notes</t>
        </is>
      </c>
      <c r="L8" s="6" t="n"/>
    </row>
    <row r="9" ht="32" customHeight="1">
      <c r="A9" s="6" t="n"/>
      <c r="B9" s="60" t="inlineStr">
        <is>
          <t>PR-01</t>
        </is>
      </c>
      <c r="C9" s="43" t="inlineStr">
        <is>
          <t>PAYE</t>
        </is>
      </c>
      <c r="D9" s="44" t="inlineStr">
        <is>
          <t>Income Tax calculation (2024-25)</t>
        </is>
      </c>
      <c r="E9" s="43" t="inlineStr">
        <is>
          <t>Personal allowance £12,570, basic 20%, higher 40%, additional 45%</t>
        </is>
      </c>
      <c r="F9" s="45" t="inlineStr">
        <is>
          <t>✅ Complete</t>
        </is>
      </c>
      <c r="G9" s="46" t="inlineStr">
        <is>
          <t>Tech Lead</t>
        </is>
      </c>
      <c r="H9" s="46" t="inlineStr">
        <is>
          <t>Live</t>
        </is>
      </c>
      <c r="I9" s="47" t="inlineStr">
        <is>
          <t>Test results (52/52 passing)</t>
        </is>
      </c>
      <c r="J9" s="48" t="inlineStr"/>
      <c r="K9" s="47" t="inlineStr">
        <is>
          <t>All rates verified in test suite</t>
        </is>
      </c>
      <c r="L9" s="6" t="n"/>
    </row>
    <row r="10" ht="32" customHeight="1">
      <c r="A10" s="6" t="n"/>
      <c r="B10" s="60" t="inlineStr">
        <is>
          <t>PR-02</t>
        </is>
      </c>
      <c r="C10" s="54" t="inlineStr">
        <is>
          <t>National Insurance</t>
        </is>
      </c>
      <c r="D10" s="49" t="inlineStr">
        <is>
          <t>Employee NI Class 1 (8%/2%)</t>
        </is>
      </c>
      <c r="E10" s="43" t="inlineStr">
        <is>
          <t>Primary threshold £12,570, UEL £50,270, main rate 8%, upper 2%</t>
        </is>
      </c>
      <c r="F10" s="50" t="inlineStr">
        <is>
          <t>✅ Complete</t>
        </is>
      </c>
      <c r="G10" s="51" t="inlineStr">
        <is>
          <t>Tech Lead</t>
        </is>
      </c>
      <c r="H10" s="51" t="inlineStr">
        <is>
          <t>Live</t>
        </is>
      </c>
      <c r="I10" s="52" t="inlineStr">
        <is>
          <t>Test results</t>
        </is>
      </c>
      <c r="J10" s="53" t="inlineStr"/>
      <c r="K10" s="52" t="inlineStr">
        <is>
          <t>2024-25 rates correct</t>
        </is>
      </c>
      <c r="L10" s="6" t="n"/>
    </row>
    <row r="11" ht="32" customHeight="1">
      <c r="A11" s="6" t="n"/>
      <c r="B11" s="60" t="inlineStr">
        <is>
          <t>PR-03</t>
        </is>
      </c>
      <c r="C11" s="54" t="inlineStr">
        <is>
          <t>National Insurance</t>
        </is>
      </c>
      <c r="D11" s="44" t="inlineStr">
        <is>
          <t>Employer NI (13.8%)</t>
        </is>
      </c>
      <c r="E11" s="43" t="inlineStr">
        <is>
          <t>Secondary threshold £9,100, 13.8% above threshold</t>
        </is>
      </c>
      <c r="F11" s="45" t="inlineStr">
        <is>
          <t>✅ Complete</t>
        </is>
      </c>
      <c r="G11" s="46" t="inlineStr">
        <is>
          <t>Tech Lead</t>
        </is>
      </c>
      <c r="H11" s="46" t="inlineStr">
        <is>
          <t>Live</t>
        </is>
      </c>
      <c r="I11" s="47" t="inlineStr">
        <is>
          <t>Test results</t>
        </is>
      </c>
      <c r="J11" s="48" t="inlineStr"/>
      <c r="K11" s="47" t="inlineStr"/>
      <c r="L11" s="6" t="n"/>
    </row>
    <row r="12" ht="32" customHeight="1">
      <c r="A12" s="6" t="n"/>
      <c r="B12" s="60" t="inlineStr">
        <is>
          <t>PR-04</t>
        </is>
      </c>
      <c r="C12" s="55" t="inlineStr">
        <is>
          <t>Pension</t>
        </is>
      </c>
      <c r="D12" s="49" t="inlineStr">
        <is>
          <t>Auto-enrolment pension calculation</t>
        </is>
      </c>
      <c r="E12" s="43" t="inlineStr">
        <is>
          <t>Qualifying earnings £6,240–£50,270, employee 5%, employer 3%</t>
        </is>
      </c>
      <c r="F12" s="50" t="inlineStr">
        <is>
          <t>✅ Complete</t>
        </is>
      </c>
      <c r="G12" s="51" t="inlineStr">
        <is>
          <t>Tech Lead</t>
        </is>
      </c>
      <c r="H12" s="51" t="inlineStr">
        <is>
          <t>Live</t>
        </is>
      </c>
      <c r="I12" s="52" t="inlineStr">
        <is>
          <t>Test results</t>
        </is>
      </c>
      <c r="J12" s="53" t="inlineStr"/>
      <c r="K12" s="52" t="inlineStr">
        <is>
          <t>AE thresholds correct</t>
        </is>
      </c>
      <c r="L12" s="6" t="n"/>
    </row>
    <row r="13" ht="32" customHeight="1">
      <c r="A13" s="6" t="n"/>
      <c r="B13" s="60" t="inlineStr">
        <is>
          <t>PR-05</t>
        </is>
      </c>
      <c r="C13" s="55" t="inlineStr">
        <is>
          <t>Pension</t>
        </is>
      </c>
      <c r="D13" s="44" t="inlineStr">
        <is>
          <t>Student loan deductions (Plan 2)</t>
        </is>
      </c>
      <c r="E13" s="43" t="inlineStr">
        <is>
          <t>Threshold £27,295, rate 9%</t>
        </is>
      </c>
      <c r="F13" s="45" t="inlineStr">
        <is>
          <t>✅ Complete</t>
        </is>
      </c>
      <c r="G13" s="46" t="inlineStr">
        <is>
          <t>Tech Lead</t>
        </is>
      </c>
      <c r="H13" s="46" t="inlineStr">
        <is>
          <t>Live</t>
        </is>
      </c>
      <c r="I13" s="47" t="inlineStr">
        <is>
          <t>Test results</t>
        </is>
      </c>
      <c r="J13" s="48" t="inlineStr"/>
      <c r="K13" s="47" t="inlineStr"/>
      <c r="L13" s="6" t="n"/>
    </row>
    <row r="14" ht="32" customHeight="1">
      <c r="A14" s="6" t="n"/>
      <c r="B14" s="60" t="inlineStr">
        <is>
          <t>PR-06</t>
        </is>
      </c>
      <c r="C14" s="56" t="inlineStr">
        <is>
          <t>Payslips</t>
        </is>
      </c>
      <c r="D14" s="49" t="inlineStr">
        <is>
          <t>PDF payslip generation</t>
        </is>
      </c>
      <c r="E14" s="43" t="inlineStr">
        <is>
          <t>ReportLab PDF with all statutory fields</t>
        </is>
      </c>
      <c r="F14" s="50" t="inlineStr">
        <is>
          <t>✅ Complete</t>
        </is>
      </c>
      <c r="G14" s="51" t="inlineStr">
        <is>
          <t>Tech Lead</t>
        </is>
      </c>
      <c r="H14" s="51" t="inlineStr">
        <is>
          <t>Live</t>
        </is>
      </c>
      <c r="I14" s="52" t="inlineStr">
        <is>
          <t>Sample payslip review</t>
        </is>
      </c>
      <c r="J14" s="53" t="inlineStr"/>
      <c r="K14" s="52" t="inlineStr"/>
      <c r="L14" s="6" t="n"/>
    </row>
    <row r="15" ht="32" customHeight="1">
      <c r="A15" s="6" t="n"/>
      <c r="B15" s="60" t="inlineStr">
        <is>
          <t>PR-07</t>
        </is>
      </c>
      <c r="C15" s="56" t="inlineStr">
        <is>
          <t>Payslips</t>
        </is>
      </c>
      <c r="D15" s="44" t="inlineStr">
        <is>
          <t>Payslip email delivery</t>
        </is>
      </c>
      <c r="E15" s="43" t="inlineStr">
        <is>
          <t>Email service sends payslip PDF to employee email</t>
        </is>
      </c>
      <c r="F15" s="45" t="inlineStr">
        <is>
          <t>✅ Complete</t>
        </is>
      </c>
      <c r="G15" s="46" t="inlineStr">
        <is>
          <t>Tech Lead</t>
        </is>
      </c>
      <c r="H15" s="46" t="inlineStr">
        <is>
          <t>Live</t>
        </is>
      </c>
      <c r="I15" s="47" t="inlineStr">
        <is>
          <t>Email delivery test</t>
        </is>
      </c>
      <c r="J15" s="48" t="inlineStr"/>
      <c r="K15" s="47" t="inlineStr"/>
      <c r="L15" s="6" t="n"/>
    </row>
    <row r="16" ht="32" customHeight="1">
      <c r="A16" s="6" t="n"/>
      <c r="B16" s="60" t="inlineStr">
        <is>
          <t>PR-08</t>
        </is>
      </c>
      <c r="C16" s="57" t="inlineStr">
        <is>
          <t>NMW</t>
        </is>
      </c>
      <c r="D16" s="49" t="inlineStr">
        <is>
          <t>National Minimum Wage validation</t>
        </is>
      </c>
      <c r="E16" s="55" t="inlineStr">
        <is>
          <t>Validate gross_salary / contracted_hours &gt;= applicable NMW tier before payroll run confirms</t>
        </is>
      </c>
      <c r="F16" s="50" t="inlineStr">
        <is>
          <t>⬜ Not Started</t>
        </is>
      </c>
      <c r="G16" s="51" t="inlineStr">
        <is>
          <t>Tech Lead</t>
        </is>
      </c>
      <c r="H16" s="51" t="inlineStr">
        <is>
          <t>URGENT</t>
        </is>
      </c>
      <c r="I16" s="52" t="inlineStr">
        <is>
          <t>NMW compliance test — no payroll run should complete below NMW</t>
        </is>
      </c>
      <c r="J16" s="53" t="inlineStr"/>
      <c r="K16" s="52" t="inlineStr">
        <is>
          <t>CRIMINAL LIABILITY — highest priority item in entire system</t>
        </is>
      </c>
      <c r="L16" s="6" t="n"/>
    </row>
    <row r="17" ht="32" customHeight="1">
      <c r="A17" s="6" t="n"/>
      <c r="B17" s="60" t="inlineStr">
        <is>
          <t>PR-09</t>
        </is>
      </c>
      <c r="C17" s="58" t="inlineStr">
        <is>
          <t>RTI</t>
        </is>
      </c>
      <c r="D17" s="44" t="inlineStr">
        <is>
          <t>RTI submission tracking flag</t>
        </is>
      </c>
      <c r="E17" s="43" t="inlineStr">
        <is>
          <t>rti_submitted boolean on PayrollRun — tracks submission status</t>
        </is>
      </c>
      <c r="F17" s="45" t="inlineStr">
        <is>
          <t>✅ Complete</t>
        </is>
      </c>
      <c r="G17" s="46" t="inlineStr">
        <is>
          <t>Tech Lead</t>
        </is>
      </c>
      <c r="H17" s="46" t="inlineStr">
        <is>
          <t>Live</t>
        </is>
      </c>
      <c r="I17" s="47" t="inlineStr">
        <is>
          <t>Code review</t>
        </is>
      </c>
      <c r="J17" s="48" t="inlineStr"/>
      <c r="K17" s="47" t="inlineStr">
        <is>
          <t>Flag only — not actual submission</t>
        </is>
      </c>
      <c r="L17" s="6" t="n"/>
    </row>
    <row r="18" ht="32" customHeight="1">
      <c r="A18" s="6" t="n"/>
      <c r="B18" s="60" t="inlineStr">
        <is>
          <t>PR-10</t>
        </is>
      </c>
      <c r="C18" s="58" t="inlineStr">
        <is>
          <t>RTI</t>
        </is>
      </c>
      <c r="D18" s="49" t="inlineStr">
        <is>
          <t>HMRC Government Gateway RTI filing</t>
        </is>
      </c>
      <c r="E18" s="55" t="inlineStr">
        <is>
          <t>Actual electronic RTI FPS/EPS submission to HMRC via API</t>
        </is>
      </c>
      <c r="F18" s="50" t="inlineStr">
        <is>
          <t>⬜ Not Started</t>
        </is>
      </c>
      <c r="G18" s="51" t="inlineStr">
        <is>
          <t>Tech Lead</t>
        </is>
      </c>
      <c r="H18" s="51" t="inlineStr">
        <is>
          <t>Jun 2026</t>
        </is>
      </c>
      <c r="I18" s="52" t="inlineStr">
        <is>
          <t>HMRC sandbox test confirmation</t>
        </is>
      </c>
      <c r="J18" s="53" t="inlineStr"/>
      <c r="K18" s="52" t="inlineStr">
        <is>
          <t>Required for legal compliance — manual submission via HMRC Basic PAYE Tools acceptable interim</t>
        </is>
      </c>
      <c r="L18" s="6" t="n"/>
    </row>
    <row r="19" ht="32" customHeight="1">
      <c r="A19" s="6" t="n"/>
      <c r="B19" s="60" t="inlineStr">
        <is>
          <t>PR-11</t>
        </is>
      </c>
      <c r="C19" s="61" t="inlineStr">
        <is>
          <t>Year-End Documents</t>
        </is>
      </c>
      <c r="D19" s="44" t="inlineStr">
        <is>
          <t>P60 generation (year-end certificate)</t>
        </is>
      </c>
      <c r="E19" s="55" t="inlineStr">
        <is>
          <t>P60 PDF for every employee by 31 May — total gross, PAYE, NI for tax year</t>
        </is>
      </c>
      <c r="F19" s="45" t="inlineStr">
        <is>
          <t>⬜ Not Started</t>
        </is>
      </c>
      <c r="G19" s="46" t="inlineStr">
        <is>
          <t>Tech Lead</t>
        </is>
      </c>
      <c r="H19" s="46" t="inlineStr">
        <is>
          <t>Mar 2026</t>
        </is>
      </c>
      <c r="I19" s="47" t="inlineStr">
        <is>
          <t>P60 sample review by accountant</t>
        </is>
      </c>
      <c r="J19" s="48" t="inlineStr"/>
      <c r="K19" s="47" t="inlineStr">
        <is>
          <t>LEGAL REQUIREMENT — every employee by 31 May</t>
        </is>
      </c>
      <c r="L19" s="6" t="n"/>
    </row>
    <row r="20" ht="32" customHeight="1">
      <c r="A20" s="6" t="n"/>
      <c r="B20" s="60" t="inlineStr">
        <is>
          <t>PR-12</t>
        </is>
      </c>
      <c r="C20" s="61" t="inlineStr">
        <is>
          <t>Year-End Documents</t>
        </is>
      </c>
      <c r="D20" s="49" t="inlineStr">
        <is>
          <t>P45 generation (leaver document)</t>
        </is>
      </c>
      <c r="E20" s="55" t="inlineStr">
        <is>
          <t>P45 PDF on employee termination — Parts 1, 1A, 2, 3</t>
        </is>
      </c>
      <c r="F20" s="50" t="inlineStr">
        <is>
          <t>⬜ Not Started</t>
        </is>
      </c>
      <c r="G20" s="51" t="inlineStr">
        <is>
          <t>Tech Lead</t>
        </is>
      </c>
      <c r="H20" s="51" t="inlineStr">
        <is>
          <t>Apr 2026</t>
        </is>
      </c>
      <c r="I20" s="52" t="inlineStr">
        <is>
          <t>P45 sample review</t>
        </is>
      </c>
      <c r="J20" s="53" t="inlineStr"/>
      <c r="K20" s="52" t="inlineStr">
        <is>
          <t>LEGAL REQUIREMENT on leaving</t>
        </is>
      </c>
      <c r="L20" s="6" t="n"/>
    </row>
    <row r="21" ht="32" customHeight="1">
      <c r="A21" s="6" t="n"/>
      <c r="B21" s="60" t="inlineStr">
        <is>
          <t>PR-13</t>
        </is>
      </c>
      <c r="C21" s="43" t="inlineStr">
        <is>
          <t>Benefits</t>
        </is>
      </c>
      <c r="D21" s="44" t="inlineStr">
        <is>
          <t>P11D (benefits in kind declaration)</t>
        </is>
      </c>
      <c r="E21" s="55" t="inlineStr">
        <is>
          <t>P11D model + PDF for any employee receiving non-cash benefits</t>
        </is>
      </c>
      <c r="F21" s="45" t="inlineStr">
        <is>
          <t>⬜ Not Started</t>
        </is>
      </c>
      <c r="G21" s="46" t="inlineStr">
        <is>
          <t>Tech Lead</t>
        </is>
      </c>
      <c r="H21" s="46" t="inlineStr">
        <is>
          <t>May 2026</t>
        </is>
      </c>
      <c r="I21" s="47" t="inlineStr">
        <is>
          <t>P11D sample + accountant review</t>
        </is>
      </c>
      <c r="J21" s="48" t="inlineStr"/>
      <c r="K21" s="47" t="inlineStr">
        <is>
          <t>Required if any benefit is provided</t>
        </is>
      </c>
      <c r="L21" s="6" t="n"/>
    </row>
    <row r="22" ht="32" customHeight="1">
      <c r="A22" s="6" t="n"/>
      <c r="B22" s="60" t="inlineStr">
        <is>
          <t>PR-14</t>
        </is>
      </c>
      <c r="C22" s="54" t="inlineStr">
        <is>
          <t>Off-Payroll</t>
        </is>
      </c>
      <c r="D22" s="49" t="inlineStr">
        <is>
          <t>IR35 assessment tool</t>
        </is>
      </c>
      <c r="E22" s="55" t="inlineStr">
        <is>
          <t>Assessment model for contractor engagements with CEST reference</t>
        </is>
      </c>
      <c r="F22" s="50" t="inlineStr">
        <is>
          <t>⬜ Not Started</t>
        </is>
      </c>
      <c r="G22" s="51" t="inlineStr">
        <is>
          <t>CFO</t>
        </is>
      </c>
      <c r="H22" s="51" t="inlineStr">
        <is>
          <t>Jun 2026</t>
        </is>
      </c>
      <c r="I22" s="52" t="inlineStr">
        <is>
          <t>Legal counsel sign-off on tool</t>
        </is>
      </c>
      <c r="J22" s="53" t="inlineStr"/>
      <c r="K22" s="52" t="inlineStr">
        <is>
          <t>Required for any sessional / freelance workers</t>
        </is>
      </c>
      <c r="L22" s="6" t="n"/>
    </row>
    <row r="23" ht="32" customHeight="1">
      <c r="A23" s="6" t="n"/>
      <c r="B23" s="60" t="inlineStr">
        <is>
          <t>PR-15</t>
        </is>
      </c>
      <c r="C23" s="55" t="inlineStr">
        <is>
          <t>YTD Totals</t>
        </is>
      </c>
      <c r="D23" s="44" t="inlineStr">
        <is>
          <t>Cumulative YTD payroll totals</t>
        </is>
      </c>
      <c r="E23" s="55" t="inlineStr">
        <is>
          <t>ytd_gross, ytd_tax, ytd_ni populated correctly on every PayrollRecord</t>
        </is>
      </c>
      <c r="F23" s="45" t="inlineStr">
        <is>
          <t>⬜ Not Started</t>
        </is>
      </c>
      <c r="G23" s="46" t="inlineStr">
        <is>
          <t>Tech Lead</t>
        </is>
      </c>
      <c r="H23" s="46" t="inlineStr">
        <is>
          <t>Apr 2026</t>
        </is>
      </c>
      <c r="I23" s="47" t="inlineStr">
        <is>
          <t>YTD test across 3 months</t>
        </is>
      </c>
      <c r="J23" s="48" t="inlineStr"/>
      <c r="K23" s="47" t="inlineStr">
        <is>
          <t>Currently fields exist but are never populated — breaks P60</t>
        </is>
      </c>
      <c r="L23" s="6" t="n"/>
    </row>
    <row r="24" ht="32" customHeight="1">
      <c r="A24" s="6" t="n"/>
      <c r="B24" s="60" t="inlineStr">
        <is>
          <t>PR-16</t>
        </is>
      </c>
      <c r="C24" s="56" t="inlineStr">
        <is>
          <t>Statutory Pay</t>
        </is>
      </c>
      <c r="D24" s="49" t="inlineStr">
        <is>
          <t>Statutory Sick Pay (SSP) calculation</t>
        </is>
      </c>
      <c r="E24" s="55" t="inlineStr">
        <is>
          <t>SSP £116.75/wk (2024-25), qualifying days, 28-week maximum</t>
        </is>
      </c>
      <c r="F24" s="50" t="inlineStr">
        <is>
          <t>⬜ Not Started</t>
        </is>
      </c>
      <c r="G24" s="51" t="inlineStr">
        <is>
          <t>Tech Lead</t>
        </is>
      </c>
      <c r="H24" s="51" t="inlineStr">
        <is>
          <t>May 2026</t>
        </is>
      </c>
      <c r="I24" s="52" t="inlineStr">
        <is>
          <t>SSP test scenario</t>
        </is>
      </c>
      <c r="J24" s="53" t="inlineStr"/>
      <c r="K24" s="52" t="inlineStr"/>
      <c r="L24" s="6" t="n"/>
    </row>
    <row r="25" ht="32" customHeight="1">
      <c r="A25" s="6" t="n"/>
      <c r="B25" s="60" t="inlineStr">
        <is>
          <t>PR-17</t>
        </is>
      </c>
      <c r="C25" s="56" t="inlineStr">
        <is>
          <t>Statutory Pay</t>
        </is>
      </c>
      <c r="D25" s="44" t="inlineStr">
        <is>
          <t>Statutory Maternity Pay (SMP)</t>
        </is>
      </c>
      <c r="E25" s="55" t="inlineStr">
        <is>
          <t>90% AWE first 6 weeks, then £184.03/wk</t>
        </is>
      </c>
      <c r="F25" s="45" t="inlineStr">
        <is>
          <t>⬜ Not Started</t>
        </is>
      </c>
      <c r="G25" s="46" t="inlineStr">
        <is>
          <t>Tech Lead</t>
        </is>
      </c>
      <c r="H25" s="46" t="inlineStr">
        <is>
          <t>May 2026</t>
        </is>
      </c>
      <c r="I25" s="47" t="inlineStr">
        <is>
          <t>SMP test scenario</t>
        </is>
      </c>
      <c r="J25" s="48" t="inlineStr"/>
      <c r="K25" s="47" t="inlineStr"/>
      <c r="L25" s="6" t="n"/>
    </row>
    <row r="26" ht="32" customHeight="1">
      <c r="A26" s="6" t="n"/>
      <c r="B26" s="60" t="inlineStr">
        <is>
          <t>PR-18</t>
        </is>
      </c>
      <c r="C26" s="56" t="inlineStr">
        <is>
          <t>Statutory Pay</t>
        </is>
      </c>
      <c r="D26" s="49" t="inlineStr">
        <is>
          <t>Statutory Paternity Pay (SPP)</t>
        </is>
      </c>
      <c r="E26" s="55" t="inlineStr">
        <is>
          <t>2 weeks at £184.03/wk</t>
        </is>
      </c>
      <c r="F26" s="50" t="inlineStr">
        <is>
          <t>⬜ Not Started</t>
        </is>
      </c>
      <c r="G26" s="51" t="inlineStr">
        <is>
          <t>Tech Lead</t>
        </is>
      </c>
      <c r="H26" s="51" t="inlineStr">
        <is>
          <t>May 2026</t>
        </is>
      </c>
      <c r="I26" s="52" t="inlineStr">
        <is>
          <t>SPP test scenario</t>
        </is>
      </c>
      <c r="J26" s="53" t="inlineStr"/>
      <c r="K26" s="52" t="inlineStr"/>
      <c r="L26" s="6" t="n"/>
    </row>
    <row r="27" ht="32" customHeight="1">
      <c r="A27" s="6" t="n"/>
      <c r="B27" s="60" t="inlineStr">
        <is>
          <t>PR-19</t>
        </is>
      </c>
      <c r="C27" s="55" t="inlineStr">
        <is>
          <t>Pension</t>
        </is>
      </c>
      <c r="D27" s="44" t="inlineStr">
        <is>
          <t>Pension re-enrolment (triennial)</t>
        </is>
      </c>
      <c r="E27" s="55" t="inlineStr">
        <is>
          <t>Re-enrol eligible workers every 3 years — Celery task with alert</t>
        </is>
      </c>
      <c r="F27" s="45" t="inlineStr">
        <is>
          <t>⬜ Not Started</t>
        </is>
      </c>
      <c r="G27" s="46" t="inlineStr">
        <is>
          <t>Tech Lead</t>
        </is>
      </c>
      <c r="H27" s="46" t="inlineStr">
        <is>
          <t>Jun 2026</t>
        </is>
      </c>
      <c r="I27" s="47" t="inlineStr">
        <is>
          <t>Re-enrolment test</t>
        </is>
      </c>
      <c r="J27" s="48" t="inlineStr"/>
      <c r="K27" s="47" t="inlineStr">
        <is>
          <t>Pensions Regulator requirement</t>
        </is>
      </c>
      <c r="L27" s="6" t="n"/>
    </row>
    <row r="28" ht="32" customHeight="1">
      <c r="A28" s="6" t="n"/>
      <c r="B28" s="60" t="inlineStr">
        <is>
          <t>PR-20</t>
        </is>
      </c>
      <c r="C28" s="57" t="inlineStr">
        <is>
          <t>Making Tax Digital</t>
        </is>
      </c>
      <c r="D28" s="49" t="inlineStr">
        <is>
          <t>MTD PAYE integration</t>
        </is>
      </c>
      <c r="E28" s="55" t="inlineStr">
        <is>
          <t>Digital PAYE / Income Tax submissions (MTD for ITSA from 2026)</t>
        </is>
      </c>
      <c r="F28" s="50" t="inlineStr">
        <is>
          <t>⬜ Not Started</t>
        </is>
      </c>
      <c r="G28" s="51" t="inlineStr">
        <is>
          <t>Tech Lead</t>
        </is>
      </c>
      <c r="H28" s="51" t="inlineStr">
        <is>
          <t>Dec 2026</t>
        </is>
      </c>
      <c r="I28" s="52" t="inlineStr">
        <is>
          <t>HMRC MTD sandbox test</t>
        </is>
      </c>
      <c r="J28" s="53" t="inlineStr"/>
      <c r="K28" s="52" t="inlineStr">
        <is>
          <t>Plan ahead — mandatory from April 2026 for some</t>
        </is>
      </c>
      <c r="L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</row>
  </sheetData>
  <mergeCells count="4">
    <mergeCell ref="B2:L2"/>
    <mergeCell ref="B4:F4"/>
    <mergeCell ref="G4:L4"/>
    <mergeCell ref="B3:L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00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7" customWidth="1" min="2" max="2"/>
    <col width="18" customWidth="1" min="3" max="3"/>
    <col width="32" customWidth="1" min="4" max="4"/>
    <col width="45" customWidth="1" min="5" max="5"/>
    <col width="16" customWidth="1" min="6" max="6"/>
    <col width="14" customWidth="1" min="7" max="7"/>
    <col width="12" customWidth="1" min="8" max="8"/>
    <col width="28" customWidth="1" min="9" max="9"/>
    <col width="14" customWidth="1" min="10" max="10"/>
    <col width="24" customWidth="1" min="11" max="11"/>
    <col width="2" customWidth="1" min="12" max="12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0" customHeight="1">
      <c r="A2" s="1" t="n"/>
      <c r="B2" s="59" t="inlineStr">
        <is>
          <t>HR COMPLIANCE  —  COMPLIANCE CHECKLIST</t>
        </is>
      </c>
    </row>
    <row r="3" ht="18" customHeight="1">
      <c r="A3" s="1" t="n"/>
      <c r="B3" s="34" t="inlineStr">
        <is>
          <t>Right to Work, DBS checks, safeguarding, leave management, disciplinary, equality monitoring</t>
        </is>
      </c>
    </row>
    <row r="4" ht="16" customHeight="1">
      <c r="A4" s="1" t="n"/>
      <c r="B4" s="4">
        <f>IFERROR(F7,0)</f>
        <v/>
      </c>
      <c r="G4" s="5" t="inlineStr">
        <is>
          <t>Regulatory Basis: Employment Rights Act 1996 · Children Act 1989/2004 · Equality Act 2010 · Working Time Regulations 1998 · ACAS Code</t>
        </is>
      </c>
    </row>
    <row r="5" ht="14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 ht="10" customHeight="1">
      <c r="A6" s="1" t="n"/>
      <c r="B6" s="35" t="inlineStr">
        <is>
          <t>Total Items</t>
        </is>
      </c>
      <c r="C6" s="35" t="inlineStr">
        <is>
          <t>✅ Complete</t>
        </is>
      </c>
      <c r="D6" s="35" t="inlineStr">
        <is>
          <t>🔄 In Progress</t>
        </is>
      </c>
      <c r="E6" s="35" t="inlineStr">
        <is>
          <t>⬜ Not Started</t>
        </is>
      </c>
      <c r="F6" s="35" t="inlineStr">
        <is>
          <t>% Complete</t>
        </is>
      </c>
      <c r="G6" s="1" t="n"/>
      <c r="H6" s="1" t="n"/>
      <c r="I6" s="1" t="n"/>
      <c r="J6" s="1" t="n"/>
      <c r="K6" s="1" t="n"/>
      <c r="L6" s="1" t="n"/>
    </row>
    <row r="7" ht="20" customHeight="1">
      <c r="A7" s="6" t="n"/>
      <c r="B7" s="36">
        <f>COUNTA(E8:E500)</f>
        <v/>
      </c>
      <c r="C7" s="37">
        <f>COUNTIF(E8:E500,"✅ Complete")</f>
        <v/>
      </c>
      <c r="D7" s="38">
        <f>COUNTIF(E8:E500,"🔄 In Progress")</f>
        <v/>
      </c>
      <c r="E7" s="39">
        <f>COUNTIF(E8:E500,"⬜ Not Started")</f>
        <v/>
      </c>
      <c r="F7" s="40">
        <f>IFERROR(C7/B7,0)</f>
        <v/>
      </c>
      <c r="G7" s="6" t="n"/>
      <c r="H7" s="6" t="n"/>
      <c r="I7" s="6" t="n"/>
      <c r="J7" s="6" t="n"/>
      <c r="K7" s="6" t="n"/>
      <c r="L7" s="6" t="n"/>
    </row>
    <row r="8" ht="20" customHeight="1">
      <c r="A8" s="6" t="n"/>
      <c r="B8" s="41" t="inlineStr">
        <is>
          <t>Ref</t>
        </is>
      </c>
      <c r="C8" s="41" t="inlineStr">
        <is>
          <t>Category</t>
        </is>
      </c>
      <c r="D8" s="41" t="inlineStr">
        <is>
          <t>Requirement</t>
        </is>
      </c>
      <c r="E8" s="41" t="inlineStr">
        <is>
          <t>Detail / What is Needed</t>
        </is>
      </c>
      <c r="F8" s="41" t="inlineStr">
        <is>
          <t>Status</t>
        </is>
      </c>
      <c r="G8" s="41" t="inlineStr">
        <is>
          <t>Owner</t>
        </is>
      </c>
      <c r="H8" s="41" t="inlineStr">
        <is>
          <t>Target Date</t>
        </is>
      </c>
      <c r="I8" s="41" t="inlineStr">
        <is>
          <t>Evidence Required</t>
        </is>
      </c>
      <c r="J8" s="41" t="inlineStr">
        <is>
          <t>Date Completed</t>
        </is>
      </c>
      <c r="K8" s="41" t="inlineStr">
        <is>
          <t>Notes</t>
        </is>
      </c>
      <c r="L8" s="6" t="n"/>
    </row>
    <row r="9" ht="32" customHeight="1">
      <c r="A9" s="6" t="n"/>
      <c r="B9" s="60" t="inlineStr">
        <is>
          <t>HR-01</t>
        </is>
      </c>
      <c r="C9" s="43" t="inlineStr">
        <is>
          <t>Right to Work</t>
        </is>
      </c>
      <c r="D9" s="44" t="inlineStr">
        <is>
          <t>Right to Work verification record</t>
        </is>
      </c>
      <c r="E9" s="55" t="inlineStr">
        <is>
          <t>Date checked, document type, number, expiry, recheck date per employee</t>
        </is>
      </c>
      <c r="F9" s="45" t="inlineStr">
        <is>
          <t>⬜ Not Started</t>
        </is>
      </c>
      <c r="G9" s="46" t="inlineStr">
        <is>
          <t>HR Manager</t>
        </is>
      </c>
      <c r="H9" s="46" t="inlineStr">
        <is>
          <t>URGENT</t>
        </is>
      </c>
      <c r="I9" s="47" t="inlineStr">
        <is>
          <t>Evidence document scans + check dates</t>
        </is>
      </c>
      <c r="J9" s="48" t="inlineStr"/>
      <c r="K9" s="47" t="inlineStr">
        <is>
          <t>CRIMINAL LIABILITY — illegal working offence</t>
        </is>
      </c>
      <c r="L9" s="6" t="n"/>
    </row>
    <row r="10" ht="32" customHeight="1">
      <c r="A10" s="6" t="n"/>
      <c r="B10" s="60" t="inlineStr">
        <is>
          <t>HR-02</t>
        </is>
      </c>
      <c r="C10" s="43" t="inlineStr">
        <is>
          <t>Right to Work</t>
        </is>
      </c>
      <c r="D10" s="49" t="inlineStr">
        <is>
          <t>Right to Work expiry alerts</t>
        </is>
      </c>
      <c r="E10" s="55" t="inlineStr">
        <is>
          <t>Celery task: alert 90, 60, 30 days before document expiry</t>
        </is>
      </c>
      <c r="F10" s="50" t="inlineStr">
        <is>
          <t>⬜ Not Started</t>
        </is>
      </c>
      <c r="G10" s="51" t="inlineStr">
        <is>
          <t>Tech Lead</t>
        </is>
      </c>
      <c r="H10" s="51" t="inlineStr">
        <is>
          <t>Mar 2026</t>
        </is>
      </c>
      <c r="I10" s="52" t="inlineStr">
        <is>
          <t>Alert email test</t>
        </is>
      </c>
      <c r="J10" s="53" t="inlineStr"/>
      <c r="K10" s="52" t="inlineStr"/>
      <c r="L10" s="6" t="n"/>
    </row>
    <row r="11" ht="32" customHeight="1">
      <c r="A11" s="6" t="n"/>
      <c r="B11" s="60" t="inlineStr">
        <is>
          <t>HR-03</t>
        </is>
      </c>
      <c r="C11" s="54" t="inlineStr">
        <is>
          <t>DBS Checks</t>
        </is>
      </c>
      <c r="D11" s="44" t="inlineStr">
        <is>
          <t>DBS check record per staff member</t>
        </is>
      </c>
      <c r="E11" s="55" t="inlineStr">
        <is>
          <t>Certificate number, type (basic/standard/enhanced+barred), issue date, expiry</t>
        </is>
      </c>
      <c r="F11" s="45" t="inlineStr">
        <is>
          <t>⬜ Not Started</t>
        </is>
      </c>
      <c r="G11" s="46" t="inlineStr">
        <is>
          <t>HR Manager</t>
        </is>
      </c>
      <c r="H11" s="46" t="inlineStr">
        <is>
          <t>URGENT</t>
        </is>
      </c>
      <c r="I11" s="47" t="inlineStr">
        <is>
          <t>DBS certificate copies on file</t>
        </is>
      </c>
      <c r="J11" s="48" t="inlineStr"/>
      <c r="K11" s="47" t="inlineStr">
        <is>
          <t>MANDATORY for youth organisation — safeguarding duty</t>
        </is>
      </c>
      <c r="L11" s="6" t="n"/>
    </row>
    <row r="12" ht="32" customHeight="1">
      <c r="A12" s="6" t="n"/>
      <c r="B12" s="60" t="inlineStr">
        <is>
          <t>HR-04</t>
        </is>
      </c>
      <c r="C12" s="54" t="inlineStr">
        <is>
          <t>DBS Checks</t>
        </is>
      </c>
      <c r="D12" s="49" t="inlineStr">
        <is>
          <t>DBS expiry alerts</t>
        </is>
      </c>
      <c r="E12" s="55" t="inlineStr">
        <is>
          <t>Celery task: alert 90, 30 days before renewal</t>
        </is>
      </c>
      <c r="F12" s="50" t="inlineStr">
        <is>
          <t>⬜ Not Started</t>
        </is>
      </c>
      <c r="G12" s="51" t="inlineStr">
        <is>
          <t>Tech Lead</t>
        </is>
      </c>
      <c r="H12" s="51" t="inlineStr">
        <is>
          <t>Mar 2026</t>
        </is>
      </c>
      <c r="I12" s="52" t="inlineStr">
        <is>
          <t>Alert email test</t>
        </is>
      </c>
      <c r="J12" s="53" t="inlineStr"/>
      <c r="K12" s="52" t="inlineStr"/>
      <c r="L12" s="6" t="n"/>
    </row>
    <row r="13" ht="32" customHeight="1">
      <c r="A13" s="6" t="n"/>
      <c r="B13" s="60" t="inlineStr">
        <is>
          <t>HR-05</t>
        </is>
      </c>
      <c r="C13" s="54" t="inlineStr">
        <is>
          <t>DBS Checks</t>
        </is>
      </c>
      <c r="D13" s="44" t="inlineStr">
        <is>
          <t>DBS records for volunteers</t>
        </is>
      </c>
      <c r="E13" s="55" t="inlineStr">
        <is>
          <t>All volunteers working with young people require enhanced DBS</t>
        </is>
      </c>
      <c r="F13" s="45" t="inlineStr">
        <is>
          <t>⬜ Not Started</t>
        </is>
      </c>
      <c r="G13" s="46" t="inlineStr">
        <is>
          <t>HR Manager</t>
        </is>
      </c>
      <c r="H13" s="46" t="inlineStr">
        <is>
          <t>URGENT</t>
        </is>
      </c>
      <c r="I13" s="47" t="inlineStr">
        <is>
          <t>Volunteer DBS records</t>
        </is>
      </c>
      <c r="J13" s="48" t="inlineStr"/>
      <c r="K13" s="47" t="inlineStr">
        <is>
          <t>Same legal requirement as employees for regulated activities</t>
        </is>
      </c>
      <c r="L13" s="6" t="n"/>
    </row>
    <row r="14" ht="32" customHeight="1">
      <c r="A14" s="6" t="n"/>
      <c r="B14" s="60" t="inlineStr">
        <is>
          <t>HR-06</t>
        </is>
      </c>
      <c r="C14" s="55" t="inlineStr">
        <is>
          <t>Safeguarding</t>
        </is>
      </c>
      <c r="D14" s="49" t="inlineStr">
        <is>
          <t>Safeguarding training records</t>
        </is>
      </c>
      <c r="E14" s="55" t="inlineStr">
        <is>
          <t>Training type, completion date, expiry, provider per staff member and volunteer</t>
        </is>
      </c>
      <c r="F14" s="50" t="inlineStr">
        <is>
          <t>⬜ Not Started</t>
        </is>
      </c>
      <c r="G14" s="51" t="inlineStr">
        <is>
          <t>HR Manager</t>
        </is>
      </c>
      <c r="H14" s="51" t="inlineStr">
        <is>
          <t>Mar 2026</t>
        </is>
      </c>
      <c r="I14" s="52" t="inlineStr">
        <is>
          <t>Training certificates</t>
        </is>
      </c>
      <c r="J14" s="53" t="inlineStr"/>
      <c r="K14" s="52" t="inlineStr">
        <is>
          <t>Statutory duty under Children Act 1989/2004</t>
        </is>
      </c>
      <c r="L14" s="6" t="n"/>
    </row>
    <row r="15" ht="32" customHeight="1">
      <c r="A15" s="6" t="n"/>
      <c r="B15" s="60" t="inlineStr">
        <is>
          <t>HR-07</t>
        </is>
      </c>
      <c r="C15" s="55" t="inlineStr">
        <is>
          <t>Safeguarding</t>
        </is>
      </c>
      <c r="D15" s="44" t="inlineStr">
        <is>
          <t>Safeguarding policy compliance status</t>
        </is>
      </c>
      <c r="E15" s="55" t="inlineStr">
        <is>
          <t>Dashboard showing all staff/volunteers with expired or upcoming renewal</t>
        </is>
      </c>
      <c r="F15" s="45" t="inlineStr">
        <is>
          <t>⬜ Not Started</t>
        </is>
      </c>
      <c r="G15" s="46" t="inlineStr">
        <is>
          <t>Tech Lead</t>
        </is>
      </c>
      <c r="H15" s="46" t="inlineStr">
        <is>
          <t>Apr 2026</t>
        </is>
      </c>
      <c r="I15" s="47" t="inlineStr">
        <is>
          <t>Functional test</t>
        </is>
      </c>
      <c r="J15" s="48" t="inlineStr"/>
      <c r="K15" s="47" t="inlineStr">
        <is>
          <t>Required for Ofsted and any CQC inspection</t>
        </is>
      </c>
      <c r="L15" s="6" t="n"/>
    </row>
    <row r="16" ht="32" customHeight="1">
      <c r="A16" s="6" t="n"/>
      <c r="B16" s="60" t="inlineStr">
        <is>
          <t>HR-08</t>
        </is>
      </c>
      <c r="C16" s="56" t="inlineStr">
        <is>
          <t>Leave Management</t>
        </is>
      </c>
      <c r="D16" s="49" t="inlineStr">
        <is>
          <t>Annual leave entitlement tracking</t>
        </is>
      </c>
      <c r="E16" s="55" t="inlineStr">
        <is>
          <t>28 days FT statutory minimum — accrual, balance, requests, approvals</t>
        </is>
      </c>
      <c r="F16" s="50" t="inlineStr">
        <is>
          <t>⬜ Not Started</t>
        </is>
      </c>
      <c r="G16" s="51" t="inlineStr">
        <is>
          <t>Tech Lead</t>
        </is>
      </c>
      <c r="H16" s="51" t="inlineStr">
        <is>
          <t>May 2026</t>
        </is>
      </c>
      <c r="I16" s="52" t="inlineStr">
        <is>
          <t>Leave balance accuracy test</t>
        </is>
      </c>
      <c r="J16" s="53" t="inlineStr"/>
      <c r="K16" s="52" t="inlineStr">
        <is>
          <t>Working Time Regulations 1998</t>
        </is>
      </c>
      <c r="L16" s="6" t="n"/>
    </row>
    <row r="17" ht="32" customHeight="1">
      <c r="A17" s="6" t="n"/>
      <c r="B17" s="60" t="inlineStr">
        <is>
          <t>HR-09</t>
        </is>
      </c>
      <c r="C17" s="56" t="inlineStr">
        <is>
          <t>Leave Management</t>
        </is>
      </c>
      <c r="D17" s="44" t="inlineStr">
        <is>
          <t>Sick leave and absence records</t>
        </is>
      </c>
      <c r="E17" s="55" t="inlineStr">
        <is>
          <t>Absence type, duration, SSP trigger, return-to-work record</t>
        </is>
      </c>
      <c r="F17" s="45" t="inlineStr">
        <is>
          <t>⬜ Not Started</t>
        </is>
      </c>
      <c r="G17" s="46" t="inlineStr">
        <is>
          <t>Tech Lead</t>
        </is>
      </c>
      <c r="H17" s="46" t="inlineStr">
        <is>
          <t>May 2026</t>
        </is>
      </c>
      <c r="I17" s="47" t="inlineStr">
        <is>
          <t>SSP linkage test</t>
        </is>
      </c>
      <c r="J17" s="48" t="inlineStr"/>
      <c r="K17" s="47" t="inlineStr">
        <is>
          <t>Required for SSP calculation</t>
        </is>
      </c>
      <c r="L17" s="6" t="n"/>
    </row>
    <row r="18" ht="32" customHeight="1">
      <c r="A18" s="6" t="n"/>
      <c r="B18" s="60" t="inlineStr">
        <is>
          <t>HR-10</t>
        </is>
      </c>
      <c r="C18" s="56" t="inlineStr">
        <is>
          <t>Leave Management</t>
        </is>
      </c>
      <c r="D18" s="49" t="inlineStr">
        <is>
          <t>Maternity / paternity leave records</t>
        </is>
      </c>
      <c r="E18" s="55" t="inlineStr">
        <is>
          <t>Leave dates, SMP/SPP calculation link, return-to-work date</t>
        </is>
      </c>
      <c r="F18" s="50" t="inlineStr">
        <is>
          <t>⬜ Not Started</t>
        </is>
      </c>
      <c r="G18" s="51" t="inlineStr">
        <is>
          <t>Tech Lead</t>
        </is>
      </c>
      <c r="H18" s="51" t="inlineStr">
        <is>
          <t>May 2026</t>
        </is>
      </c>
      <c r="I18" s="52" t="inlineStr">
        <is>
          <t>SMP/SPP test</t>
        </is>
      </c>
      <c r="J18" s="53" t="inlineStr"/>
      <c r="K18" s="52" t="inlineStr"/>
      <c r="L18" s="6" t="n"/>
    </row>
    <row r="19" ht="32" customHeight="1">
      <c r="A19" s="6" t="n"/>
      <c r="B19" s="60" t="inlineStr">
        <is>
          <t>HR-11</t>
        </is>
      </c>
      <c r="C19" s="57" t="inlineStr">
        <is>
          <t>Contracts</t>
        </is>
      </c>
      <c r="D19" s="44" t="inlineStr">
        <is>
          <t>Employment contract storage</t>
        </is>
      </c>
      <c r="E19" s="55" t="inlineStr">
        <is>
          <t>Signed contract document upload and version tracking per employee</t>
        </is>
      </c>
      <c r="F19" s="45" t="inlineStr">
        <is>
          <t>⬜ Not Started</t>
        </is>
      </c>
      <c r="G19" s="46" t="inlineStr">
        <is>
          <t>HR Manager</t>
        </is>
      </c>
      <c r="H19" s="46" t="inlineStr">
        <is>
          <t>Apr 2026</t>
        </is>
      </c>
      <c r="I19" s="47" t="inlineStr">
        <is>
          <t>Contract file for every active employee</t>
        </is>
      </c>
      <c r="J19" s="48" t="inlineStr"/>
      <c r="K19" s="47" t="inlineStr">
        <is>
          <t>Employment Rights Act 1996 — written statement within 2 months</t>
        </is>
      </c>
      <c r="L19" s="6" t="n"/>
    </row>
    <row r="20" ht="32" customHeight="1">
      <c r="A20" s="6" t="n"/>
      <c r="B20" s="60" t="inlineStr">
        <is>
          <t>HR-12</t>
        </is>
      </c>
      <c r="C20" s="58" t="inlineStr">
        <is>
          <t>Probation</t>
        </is>
      </c>
      <c r="D20" s="49" t="inlineStr">
        <is>
          <t>Probation period tracking</t>
        </is>
      </c>
      <c r="E20" s="55" t="inlineStr">
        <is>
          <t>Start date, duration, review dates, outcome (passed/extended/failed)</t>
        </is>
      </c>
      <c r="F20" s="50" t="inlineStr">
        <is>
          <t>⬜ Not Started</t>
        </is>
      </c>
      <c r="G20" s="51" t="inlineStr">
        <is>
          <t>HR Manager</t>
        </is>
      </c>
      <c r="H20" s="51" t="inlineStr">
        <is>
          <t>May 2026</t>
        </is>
      </c>
      <c r="I20" s="52" t="inlineStr">
        <is>
          <t>Probation records</t>
        </is>
      </c>
      <c r="J20" s="53" t="inlineStr"/>
      <c r="K20" s="52" t="inlineStr"/>
      <c r="L20" s="6" t="n"/>
    </row>
    <row r="21" ht="32" customHeight="1">
      <c r="A21" s="6" t="n"/>
      <c r="B21" s="60" t="inlineStr">
        <is>
          <t>HR-13</t>
        </is>
      </c>
      <c r="C21" s="61" t="inlineStr">
        <is>
          <t>Disciplinary</t>
        </is>
      </c>
      <c r="D21" s="44" t="inlineStr">
        <is>
          <t>Disciplinary case records</t>
        </is>
      </c>
      <c r="E21" s="55" t="inlineStr">
        <is>
          <t>Case type, opened date, outcome, appeal, confidential flag</t>
        </is>
      </c>
      <c r="F21" s="45" t="inlineStr">
        <is>
          <t>⬜ Not Started</t>
        </is>
      </c>
      <c r="G21" s="46" t="inlineStr">
        <is>
          <t>HR Manager</t>
        </is>
      </c>
      <c r="H21" s="46" t="inlineStr">
        <is>
          <t>May 2026</t>
        </is>
      </c>
      <c r="I21" s="47" t="inlineStr">
        <is>
          <t>ACAS Code of Practice compliance</t>
        </is>
      </c>
      <c r="J21" s="48" t="inlineStr"/>
      <c r="K21" s="47" t="inlineStr">
        <is>
          <t>Employment Rights Act 1996 — required to defend tribunal claims</t>
        </is>
      </c>
      <c r="L21" s="6" t="n"/>
    </row>
    <row r="22" ht="32" customHeight="1">
      <c r="A22" s="6" t="n"/>
      <c r="B22" s="60" t="inlineStr">
        <is>
          <t>HR-14</t>
        </is>
      </c>
      <c r="C22" s="61" t="inlineStr">
        <is>
          <t>Disciplinary</t>
        </is>
      </c>
      <c r="D22" s="49" t="inlineStr">
        <is>
          <t>Grievance records</t>
        </is>
      </c>
      <c r="E22" s="55" t="inlineStr">
        <is>
          <t>Grievance type, dates, outcome, resolution</t>
        </is>
      </c>
      <c r="F22" s="50" t="inlineStr">
        <is>
          <t>⬜ Not Started</t>
        </is>
      </c>
      <c r="G22" s="51" t="inlineStr">
        <is>
          <t>HR Manager</t>
        </is>
      </c>
      <c r="H22" s="51" t="inlineStr">
        <is>
          <t>May 2026</t>
        </is>
      </c>
      <c r="I22" s="52" t="inlineStr">
        <is>
          <t>ACAS Code of Practice compliance</t>
        </is>
      </c>
      <c r="J22" s="53" t="inlineStr"/>
      <c r="K22" s="52" t="inlineStr"/>
      <c r="L22" s="6" t="n"/>
    </row>
    <row r="23" ht="32" customHeight="1">
      <c r="A23" s="6" t="n"/>
      <c r="B23" s="60" t="inlineStr">
        <is>
          <t>HR-15</t>
        </is>
      </c>
      <c r="C23" s="43" t="inlineStr">
        <is>
          <t>Equality</t>
        </is>
      </c>
      <c r="D23" s="44" t="inlineStr">
        <is>
          <t>Equality and diversity monitoring</t>
        </is>
      </c>
      <c r="E23" s="55" t="inlineStr">
        <is>
          <t>Voluntary anonymised monitoring — protected characteristics under Equality Act 2010</t>
        </is>
      </c>
      <c r="F23" s="45" t="inlineStr">
        <is>
          <t>⬜ Not Started</t>
        </is>
      </c>
      <c r="G23" s="46" t="inlineStr">
        <is>
          <t>HR Manager</t>
        </is>
      </c>
      <c r="H23" s="46" t="inlineStr">
        <is>
          <t>Jun 2026</t>
        </is>
      </c>
      <c r="I23" s="47" t="inlineStr">
        <is>
          <t>Diversity report sample</t>
        </is>
      </c>
      <c r="J23" s="48" t="inlineStr"/>
      <c r="K23" s="47" t="inlineStr">
        <is>
          <t>Required for grant funder compliance and public sector equality duty</t>
        </is>
      </c>
      <c r="L23" s="6" t="n"/>
    </row>
    <row r="24" ht="32" customHeight="1">
      <c r="A24" s="6" t="n"/>
      <c r="B24" s="60" t="inlineStr">
        <is>
          <t>HR-16</t>
        </is>
      </c>
      <c r="C24" s="54" t="inlineStr">
        <is>
          <t>Training</t>
        </is>
      </c>
      <c r="D24" s="49" t="inlineStr">
        <is>
          <t>CPD and training records</t>
        </is>
      </c>
      <c r="E24" s="55" t="inlineStr">
        <is>
          <t>Training type, date, provider, certification — per staff member</t>
        </is>
      </c>
      <c r="F24" s="50" t="inlineStr">
        <is>
          <t>⬜ Not Started</t>
        </is>
      </c>
      <c r="G24" s="51" t="inlineStr">
        <is>
          <t>HR Manager</t>
        </is>
      </c>
      <c r="H24" s="51" t="inlineStr">
        <is>
          <t>May 2026</t>
        </is>
      </c>
      <c r="I24" s="52" t="inlineStr">
        <is>
          <t>Training log</t>
        </is>
      </c>
      <c r="J24" s="53" t="inlineStr"/>
      <c r="K24" s="52" t="inlineStr">
        <is>
          <t>Required for evidence in grant reports</t>
        </is>
      </c>
      <c r="L24" s="6" t="n"/>
    </row>
    <row r="25" ht="32" customHeight="1">
      <c r="A25" s="6" t="n"/>
      <c r="B25" s="60" t="inlineStr">
        <is>
          <t>HR-17</t>
        </is>
      </c>
      <c r="C25" s="55" t="inlineStr">
        <is>
          <t>Volunteer Management</t>
        </is>
      </c>
      <c r="D25" s="44" t="inlineStr">
        <is>
          <t>Volunteer agreement recording</t>
        </is>
      </c>
      <c r="E25" s="55" t="inlineStr">
        <is>
          <t>Signed volunteer agreement date, induction date, role description</t>
        </is>
      </c>
      <c r="F25" s="45" t="inlineStr">
        <is>
          <t>⬜ Not Started</t>
        </is>
      </c>
      <c r="G25" s="46" t="inlineStr">
        <is>
          <t>HR Manager</t>
        </is>
      </c>
      <c r="H25" s="46" t="inlineStr">
        <is>
          <t>Apr 2026</t>
        </is>
      </c>
      <c r="I25" s="47" t="inlineStr">
        <is>
          <t>Volunteer agreement files</t>
        </is>
      </c>
      <c r="J25" s="48" t="inlineStr"/>
      <c r="K25" s="47" t="inlineStr"/>
      <c r="L25" s="6" t="n"/>
    </row>
    <row r="26" ht="32" customHeight="1">
      <c r="A26" s="6" t="n"/>
      <c r="B26" s="60" t="inlineStr">
        <is>
          <t>HR-18</t>
        </is>
      </c>
      <c r="C26" s="56" t="inlineStr">
        <is>
          <t>Working Time</t>
        </is>
      </c>
      <c r="D26" s="49" t="inlineStr">
        <is>
          <t>Working Time Regulations compliance</t>
        </is>
      </c>
      <c r="E26" s="55" t="inlineStr">
        <is>
          <t>48-hour opt-out recording, rest break tracking for irregular hours workers</t>
        </is>
      </c>
      <c r="F26" s="50" t="inlineStr">
        <is>
          <t>⬜ Not Started</t>
        </is>
      </c>
      <c r="G26" s="51" t="inlineStr">
        <is>
          <t>HR Manager</t>
        </is>
      </c>
      <c r="H26" s="51" t="inlineStr">
        <is>
          <t>Jun 2026</t>
        </is>
      </c>
      <c r="I26" s="52" t="inlineStr">
        <is>
          <t>WTR audit evidence</t>
        </is>
      </c>
      <c r="J26" s="53" t="inlineStr"/>
      <c r="K26" s="52" t="inlineStr">
        <is>
          <t>Working Time Regulations 1998</t>
        </is>
      </c>
      <c r="L26" s="6" t="n"/>
    </row>
    <row r="27" ht="32" customHeight="1">
      <c r="A27" s="6" t="n"/>
      <c r="B27" s="60" t="inlineStr">
        <is>
          <t>HR-19</t>
        </is>
      </c>
      <c r="C27" s="57" t="inlineStr">
        <is>
          <t>Whistleblowing</t>
        </is>
      </c>
      <c r="D27" s="44" t="inlineStr">
        <is>
          <t>Whistleblowing policy reference and case log</t>
        </is>
      </c>
      <c r="E27" s="55" t="inlineStr">
        <is>
          <t>Policy version, case reference, nature, resolution, legal protection flag</t>
        </is>
      </c>
      <c r="F27" s="45" t="inlineStr">
        <is>
          <t>⬜ Not Started</t>
        </is>
      </c>
      <c r="G27" s="46" t="inlineStr">
        <is>
          <t>HR Manager</t>
        </is>
      </c>
      <c r="H27" s="46" t="inlineStr">
        <is>
          <t>Jun 2026</t>
        </is>
      </c>
      <c r="I27" s="47" t="inlineStr">
        <is>
          <t>Public Interest Disclosure Act 1998 compliance</t>
        </is>
      </c>
      <c r="J27" s="48" t="inlineStr"/>
      <c r="K27" s="47" t="inlineStr"/>
      <c r="L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</row>
  </sheetData>
  <mergeCells count="4">
    <mergeCell ref="B2:L2"/>
    <mergeCell ref="B4:F4"/>
    <mergeCell ref="G4:L4"/>
    <mergeCell ref="B3:L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00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7" customWidth="1" min="2" max="2"/>
    <col width="18" customWidth="1" min="3" max="3"/>
    <col width="32" customWidth="1" min="4" max="4"/>
    <col width="45" customWidth="1" min="5" max="5"/>
    <col width="16" customWidth="1" min="6" max="6"/>
    <col width="14" customWidth="1" min="7" max="7"/>
    <col width="12" customWidth="1" min="8" max="8"/>
    <col width="28" customWidth="1" min="9" max="9"/>
    <col width="14" customWidth="1" min="10" max="10"/>
    <col width="24" customWidth="1" min="11" max="11"/>
    <col width="2" customWidth="1" min="12" max="12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0" customHeight="1">
      <c r="A2" s="1" t="n"/>
      <c r="B2" s="62" t="inlineStr">
        <is>
          <t>GDPR / DATA PROTECTION  —  COMPLIANCE CHECKLIST</t>
        </is>
      </c>
    </row>
    <row r="3" ht="18" customHeight="1">
      <c r="A3" s="1" t="n"/>
      <c r="B3" s="34" t="inlineStr">
        <is>
          <t>UK GDPR / DPA 2018 compliance — consent, data subject rights, retention, encryption, breach logging</t>
        </is>
      </c>
    </row>
    <row r="4" ht="16" customHeight="1">
      <c r="A4" s="1" t="n"/>
      <c r="B4" s="4">
        <f>IFERROR(F7,0)</f>
        <v/>
      </c>
      <c r="G4" s="5" t="inlineStr">
        <is>
          <t>Regulatory Basis: UK GDPR · Data Protection Act 2018 · ICO Accountability Framework</t>
        </is>
      </c>
    </row>
    <row r="5" ht="14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 ht="10" customHeight="1">
      <c r="A6" s="1" t="n"/>
      <c r="B6" s="35" t="inlineStr">
        <is>
          <t>Total Items</t>
        </is>
      </c>
      <c r="C6" s="35" t="inlineStr">
        <is>
          <t>✅ Complete</t>
        </is>
      </c>
      <c r="D6" s="35" t="inlineStr">
        <is>
          <t>🔄 In Progress</t>
        </is>
      </c>
      <c r="E6" s="35" t="inlineStr">
        <is>
          <t>⬜ Not Started</t>
        </is>
      </c>
      <c r="F6" s="35" t="inlineStr">
        <is>
          <t>% Complete</t>
        </is>
      </c>
      <c r="G6" s="1" t="n"/>
      <c r="H6" s="1" t="n"/>
      <c r="I6" s="1" t="n"/>
      <c r="J6" s="1" t="n"/>
      <c r="K6" s="1" t="n"/>
      <c r="L6" s="1" t="n"/>
    </row>
    <row r="7" ht="20" customHeight="1">
      <c r="A7" s="6" t="n"/>
      <c r="B7" s="36">
        <f>COUNTA(E8:E500)</f>
        <v/>
      </c>
      <c r="C7" s="37">
        <f>COUNTIF(E8:E500,"✅ Complete")</f>
        <v/>
      </c>
      <c r="D7" s="38">
        <f>COUNTIF(E8:E500,"🔄 In Progress")</f>
        <v/>
      </c>
      <c r="E7" s="39">
        <f>COUNTIF(E8:E500,"⬜ Not Started")</f>
        <v/>
      </c>
      <c r="F7" s="40">
        <f>IFERROR(C7/B7,0)</f>
        <v/>
      </c>
      <c r="G7" s="6" t="n"/>
      <c r="H7" s="6" t="n"/>
      <c r="I7" s="6" t="n"/>
      <c r="J7" s="6" t="n"/>
      <c r="K7" s="6" t="n"/>
      <c r="L7" s="6" t="n"/>
    </row>
    <row r="8" ht="20" customHeight="1">
      <c r="A8" s="6" t="n"/>
      <c r="B8" s="41" t="inlineStr">
        <is>
          <t>Ref</t>
        </is>
      </c>
      <c r="C8" s="41" t="inlineStr">
        <is>
          <t>Category</t>
        </is>
      </c>
      <c r="D8" s="41" t="inlineStr">
        <is>
          <t>Requirement</t>
        </is>
      </c>
      <c r="E8" s="41" t="inlineStr">
        <is>
          <t>Detail / What is Needed</t>
        </is>
      </c>
      <c r="F8" s="41" t="inlineStr">
        <is>
          <t>Status</t>
        </is>
      </c>
      <c r="G8" s="41" t="inlineStr">
        <is>
          <t>Owner</t>
        </is>
      </c>
      <c r="H8" s="41" t="inlineStr">
        <is>
          <t>Target Date</t>
        </is>
      </c>
      <c r="I8" s="41" t="inlineStr">
        <is>
          <t>Evidence Required</t>
        </is>
      </c>
      <c r="J8" s="41" t="inlineStr">
        <is>
          <t>Date Completed</t>
        </is>
      </c>
      <c r="K8" s="41" t="inlineStr">
        <is>
          <t>Notes</t>
        </is>
      </c>
      <c r="L8" s="6" t="n"/>
    </row>
    <row r="9" ht="32" customHeight="1">
      <c r="A9" s="6" t="n"/>
      <c r="B9" s="63" t="inlineStr">
        <is>
          <t>DP-01</t>
        </is>
      </c>
      <c r="C9" s="43" t="inlineStr">
        <is>
          <t>Consent Management</t>
        </is>
      </c>
      <c r="D9" s="44" t="inlineStr">
        <is>
          <t>Lawful basis recording for each data category</t>
        </is>
      </c>
      <c r="E9" s="55" t="inlineStr">
        <is>
          <t>Article 6 GDPR — record lawful basis (consent/contract/legal obligation/legitimate interest) per data type</t>
        </is>
      </c>
      <c r="F9" s="45" t="inlineStr">
        <is>
          <t>⬜ Not Started</t>
        </is>
      </c>
      <c r="G9" s="46" t="inlineStr">
        <is>
          <t>DPO / CFO</t>
        </is>
      </c>
      <c r="H9" s="46" t="inlineStr">
        <is>
          <t>Apr 2026</t>
        </is>
      </c>
      <c r="I9" s="47" t="inlineStr">
        <is>
          <t>ICO accountability framework checklist</t>
        </is>
      </c>
      <c r="J9" s="48" t="inlineStr"/>
      <c r="K9" s="47" t="inlineStr">
        <is>
          <t>Required for every category of personal data processed</t>
        </is>
      </c>
      <c r="L9" s="6" t="n"/>
    </row>
    <row r="10" ht="32" customHeight="1">
      <c r="A10" s="6" t="n"/>
      <c r="B10" s="63" t="inlineStr">
        <is>
          <t>DP-02</t>
        </is>
      </c>
      <c r="C10" s="43" t="inlineStr">
        <is>
          <t>Consent Management</t>
        </is>
      </c>
      <c r="D10" s="49" t="inlineStr">
        <is>
          <t>Donor marketing consent</t>
        </is>
      </c>
      <c r="E10" s="55" t="inlineStr">
        <is>
          <t>Consent date, method (online/paper), withdrawal date, version of privacy notice</t>
        </is>
      </c>
      <c r="F10" s="50" t="inlineStr">
        <is>
          <t>⬜ Not Started</t>
        </is>
      </c>
      <c r="G10" s="51" t="inlineStr">
        <is>
          <t>Tech Lead</t>
        </is>
      </c>
      <c r="H10" s="51" t="inlineStr">
        <is>
          <t>Apr 2026</t>
        </is>
      </c>
      <c r="I10" s="52" t="inlineStr">
        <is>
          <t>Consent audit trail</t>
        </is>
      </c>
      <c r="J10" s="53" t="inlineStr"/>
      <c r="K10" s="52" t="inlineStr">
        <is>
          <t>GDPR Article 7 — consent must be freely given, specific, informed</t>
        </is>
      </c>
      <c r="L10" s="6" t="n"/>
    </row>
    <row r="11" ht="32" customHeight="1">
      <c r="A11" s="6" t="n"/>
      <c r="B11" s="63" t="inlineStr">
        <is>
          <t>DP-03</t>
        </is>
      </c>
      <c r="C11" s="43" t="inlineStr">
        <is>
          <t>Consent Management</t>
        </is>
      </c>
      <c r="D11" s="44" t="inlineStr">
        <is>
          <t>Gift Aid declaration evidence</t>
        </is>
      </c>
      <c r="E11" s="54" t="inlineStr">
        <is>
          <t>Donor declaration date, declaration method, declaration text version</t>
        </is>
      </c>
      <c r="F11" s="45" t="inlineStr">
        <is>
          <t>🔄 In Progress</t>
        </is>
      </c>
      <c r="G11" s="46" t="inlineStr">
        <is>
          <t>Tech Lead</t>
        </is>
      </c>
      <c r="H11" s="46" t="inlineStr">
        <is>
          <t>Apr 2026</t>
        </is>
      </c>
      <c r="I11" s="47" t="inlineStr">
        <is>
          <t>Gift Aid audit trail</t>
        </is>
      </c>
      <c r="J11" s="48" t="inlineStr"/>
      <c r="K11" s="47" t="inlineStr">
        <is>
          <t>gift_aid_eligible boolean exists — needs date and declaration text</t>
        </is>
      </c>
      <c r="L11" s="6" t="n"/>
    </row>
    <row r="12" ht="32" customHeight="1">
      <c r="A12" s="6" t="n"/>
      <c r="B12" s="63" t="inlineStr">
        <is>
          <t>DP-04</t>
        </is>
      </c>
      <c r="C12" s="54" t="inlineStr">
        <is>
          <t>Data Subject Rights</t>
        </is>
      </c>
      <c r="D12" s="49" t="inlineStr">
        <is>
          <t>Subject Access Request (DSAR) workflow</t>
        </is>
      </c>
      <c r="E12" s="55" t="inlineStr">
        <is>
          <t>Endpoint to export all data held on a named individual within 30 days</t>
        </is>
      </c>
      <c r="F12" s="50" t="inlineStr">
        <is>
          <t>⬜ Not Started</t>
        </is>
      </c>
      <c r="G12" s="51" t="inlineStr">
        <is>
          <t>Tech Lead</t>
        </is>
      </c>
      <c r="H12" s="51" t="inlineStr">
        <is>
          <t>Apr 2026</t>
        </is>
      </c>
      <c r="I12" s="52" t="inlineStr">
        <is>
          <t>DSAR test — full data export</t>
        </is>
      </c>
      <c r="J12" s="53" t="inlineStr"/>
      <c r="K12" s="52" t="inlineStr">
        <is>
          <t>GDPR Article 15 — 30-day legal deadline</t>
        </is>
      </c>
      <c r="L12" s="6" t="n"/>
    </row>
    <row r="13" ht="32" customHeight="1">
      <c r="A13" s="6" t="n"/>
      <c r="B13" s="63" t="inlineStr">
        <is>
          <t>DP-05</t>
        </is>
      </c>
      <c r="C13" s="54" t="inlineStr">
        <is>
          <t>Data Subject Rights</t>
        </is>
      </c>
      <c r="D13" s="44" t="inlineStr">
        <is>
          <t>Right to Erasure / Right to be Forgotten</t>
        </is>
      </c>
      <c r="E13" s="55" t="inlineStr">
        <is>
          <t>Anonymise PII on request (replace with [ANONYMISED]) preserving financial totals</t>
        </is>
      </c>
      <c r="F13" s="45" t="inlineStr">
        <is>
          <t>⬜ Not Started</t>
        </is>
      </c>
      <c r="G13" s="46" t="inlineStr">
        <is>
          <t>Tech Lead</t>
        </is>
      </c>
      <c r="H13" s="46" t="inlineStr">
        <is>
          <t>Apr 2026</t>
        </is>
      </c>
      <c r="I13" s="47" t="inlineStr">
        <is>
          <t>Erasure test — PII removed, totals preserved</t>
        </is>
      </c>
      <c r="J13" s="48" t="inlineStr"/>
      <c r="K13" s="47" t="inlineStr">
        <is>
          <t>GDPR Article 17</t>
        </is>
      </c>
      <c r="L13" s="6" t="n"/>
    </row>
    <row r="14" ht="32" customHeight="1">
      <c r="A14" s="6" t="n"/>
      <c r="B14" s="63" t="inlineStr">
        <is>
          <t>DP-06</t>
        </is>
      </c>
      <c r="C14" s="55" t="inlineStr">
        <is>
          <t>Data Retention</t>
        </is>
      </c>
      <c r="D14" s="49" t="inlineStr">
        <is>
          <t>Retention schedule configuration</t>
        </is>
      </c>
      <c r="E14" s="55" t="inlineStr">
        <is>
          <t>HMRC: payroll 3 years, employment records 6 years, financial records 7 years</t>
        </is>
      </c>
      <c r="F14" s="50" t="inlineStr">
        <is>
          <t>⬜ Not Started</t>
        </is>
      </c>
      <c r="G14" s="51" t="inlineStr">
        <is>
          <t>CFO</t>
        </is>
      </c>
      <c r="H14" s="51" t="inlineStr">
        <is>
          <t>May 2026</t>
        </is>
      </c>
      <c r="I14" s="52" t="inlineStr">
        <is>
          <t>Retention policy document signed by DPO</t>
        </is>
      </c>
      <c r="J14" s="53" t="inlineStr"/>
      <c r="K14" s="52" t="inlineStr">
        <is>
          <t>UK GDPR storage limitation principle</t>
        </is>
      </c>
      <c r="L14" s="6" t="n"/>
    </row>
    <row r="15" ht="32" customHeight="1">
      <c r="A15" s="6" t="n"/>
      <c r="B15" s="63" t="inlineStr">
        <is>
          <t>DP-07</t>
        </is>
      </c>
      <c r="C15" s="55" t="inlineStr">
        <is>
          <t>Data Retention</t>
        </is>
      </c>
      <c r="D15" s="44" t="inlineStr">
        <is>
          <t>Automated retention enforcement</t>
        </is>
      </c>
      <c r="E15" s="55" t="inlineStr">
        <is>
          <t>Celery task: flag records past retention window for review / deletion</t>
        </is>
      </c>
      <c r="F15" s="45" t="inlineStr">
        <is>
          <t>⬜ Not Started</t>
        </is>
      </c>
      <c r="G15" s="46" t="inlineStr">
        <is>
          <t>Tech Lead</t>
        </is>
      </c>
      <c r="H15" s="46" t="inlineStr">
        <is>
          <t>May 2026</t>
        </is>
      </c>
      <c r="I15" s="47" t="inlineStr">
        <is>
          <t>Retention task test</t>
        </is>
      </c>
      <c r="J15" s="48" t="inlineStr"/>
      <c r="K15" s="47" t="inlineStr"/>
      <c r="L15" s="6" t="n"/>
    </row>
    <row r="16" ht="32" customHeight="1">
      <c r="A16" s="6" t="n"/>
      <c r="B16" s="63" t="inlineStr">
        <is>
          <t>DP-08</t>
        </is>
      </c>
      <c r="C16" s="56" t="inlineStr">
        <is>
          <t>Data Security</t>
        </is>
      </c>
      <c r="D16" s="49" t="inlineStr">
        <is>
          <t>Field-level encryption for PII</t>
        </is>
      </c>
      <c r="E16" s="55" t="inlineStr">
        <is>
          <t>Encrypt: NI numbers, bank account numbers, bank sort codes, donor addresses</t>
        </is>
      </c>
      <c r="F16" s="50" t="inlineStr">
        <is>
          <t>⬜ Not Started</t>
        </is>
      </c>
      <c r="G16" s="51" t="inlineStr">
        <is>
          <t>Tech Lead</t>
        </is>
      </c>
      <c r="H16" s="51" t="inlineStr">
        <is>
          <t>Apr 2026</t>
        </is>
      </c>
      <c r="I16" s="52" t="inlineStr">
        <is>
          <t>Encryption key management test</t>
        </is>
      </c>
      <c r="J16" s="53" t="inlineStr"/>
      <c r="K16" s="52" t="inlineStr">
        <is>
          <t>UK GDPR Article 32 — appropriate technical measures</t>
        </is>
      </c>
      <c r="L16" s="6" t="n"/>
    </row>
    <row r="17" ht="32" customHeight="1">
      <c r="A17" s="6" t="n"/>
      <c r="B17" s="63" t="inlineStr">
        <is>
          <t>DP-09</t>
        </is>
      </c>
      <c r="C17" s="56" t="inlineStr">
        <is>
          <t>Data Security</t>
        </is>
      </c>
      <c r="D17" s="44" t="inlineStr">
        <is>
          <t>Data breach logging</t>
        </is>
      </c>
      <c r="E17" s="55" t="inlineStr">
        <is>
          <t>Incident log: discovery date, nature, data affected, individuals notified, ICO reference</t>
        </is>
      </c>
      <c r="F17" s="45" t="inlineStr">
        <is>
          <t>⬜ Not Started</t>
        </is>
      </c>
      <c r="G17" s="46" t="inlineStr">
        <is>
          <t>Tech Lead</t>
        </is>
      </c>
      <c r="H17" s="46" t="inlineStr">
        <is>
          <t>Apr 2026</t>
        </is>
      </c>
      <c r="I17" s="47" t="inlineStr">
        <is>
          <t>ICO 72-hour notification drill</t>
        </is>
      </c>
      <c r="J17" s="48" t="inlineStr"/>
      <c r="K17" s="47" t="inlineStr">
        <is>
          <t>GDPR Article 33 — notify ICO within 72 hours</t>
        </is>
      </c>
      <c r="L17" s="6" t="n"/>
    </row>
    <row r="18" ht="32" customHeight="1">
      <c r="A18" s="6" t="n"/>
      <c r="B18" s="63" t="inlineStr">
        <is>
          <t>DP-10</t>
        </is>
      </c>
      <c r="C18" s="57" t="inlineStr">
        <is>
          <t>Third Parties</t>
        </is>
      </c>
      <c r="D18" s="49" t="inlineStr">
        <is>
          <t>Data processing agreements tracking</t>
        </is>
      </c>
      <c r="E18" s="55" t="inlineStr">
        <is>
          <t>Record DPAs with: Stripe, PayPal, Supabase, Anthropic, any email provider</t>
        </is>
      </c>
      <c r="F18" s="50" t="inlineStr">
        <is>
          <t>⬜ Not Started</t>
        </is>
      </c>
      <c r="G18" s="51" t="inlineStr">
        <is>
          <t>CFO</t>
        </is>
      </c>
      <c r="H18" s="51" t="inlineStr">
        <is>
          <t>May 2026</t>
        </is>
      </c>
      <c r="I18" s="52" t="inlineStr">
        <is>
          <t>Signed DPA copies</t>
        </is>
      </c>
      <c r="J18" s="53" t="inlineStr"/>
      <c r="K18" s="52" t="inlineStr">
        <is>
          <t>GDPR Article 28 — required for all data processors</t>
        </is>
      </c>
      <c r="L18" s="6" t="n"/>
    </row>
    <row r="19" ht="32" customHeight="1">
      <c r="A19" s="6" t="n"/>
      <c r="B19" s="63" t="inlineStr">
        <is>
          <t>DP-11</t>
        </is>
      </c>
      <c r="C19" s="58" t="inlineStr">
        <is>
          <t>ICO Registration</t>
        </is>
      </c>
      <c r="D19" s="44" t="inlineStr">
        <is>
          <t>ICO registration status tracking</t>
        </is>
      </c>
      <c r="E19" s="55" t="inlineStr">
        <is>
          <t>Organisation must be registered with ICO — annual fee — registration number</t>
        </is>
      </c>
      <c r="F19" s="45" t="inlineStr">
        <is>
          <t>⬜ Not Started</t>
        </is>
      </c>
      <c r="G19" s="46" t="inlineStr">
        <is>
          <t>CFO</t>
        </is>
      </c>
      <c r="H19" s="46" t="inlineStr">
        <is>
          <t>URGENT</t>
        </is>
      </c>
      <c r="I19" s="47" t="inlineStr">
        <is>
          <t>ICO registration certificate</t>
        </is>
      </c>
      <c r="J19" s="48" t="inlineStr"/>
      <c r="K19" s="47" t="inlineStr">
        <is>
          <t>Most organisations holding personal data must register — fee £40–£2,900/yr</t>
        </is>
      </c>
      <c r="L19" s="6" t="n"/>
    </row>
    <row r="20" ht="32" customHeight="1">
      <c r="A20" s="6" t="n"/>
      <c r="B20" s="63" t="inlineStr">
        <is>
          <t>DP-12</t>
        </is>
      </c>
      <c r="C20" s="61" t="inlineStr">
        <is>
          <t>Privacy Notice</t>
        </is>
      </c>
      <c r="D20" s="49" t="inlineStr">
        <is>
          <t>Privacy policy version tracking</t>
        </is>
      </c>
      <c r="E20" s="55" t="inlineStr">
        <is>
          <t>Current version, date, link — referenced on donor forms and employee records</t>
        </is>
      </c>
      <c r="F20" s="50" t="inlineStr">
        <is>
          <t>⬜ Not Started</t>
        </is>
      </c>
      <c r="G20" s="51" t="inlineStr">
        <is>
          <t>CFO</t>
        </is>
      </c>
      <c r="H20" s="51" t="inlineStr">
        <is>
          <t>Apr 2026</t>
        </is>
      </c>
      <c r="I20" s="52" t="inlineStr">
        <is>
          <t>Privacy notice document</t>
        </is>
      </c>
      <c r="J20" s="53" t="inlineStr"/>
      <c r="K20" s="52" t="inlineStr">
        <is>
          <t>GDPR Article 13/14 transparency requirement</t>
        </is>
      </c>
      <c r="L20" s="6" t="n"/>
    </row>
    <row r="21" ht="32" customHeight="1">
      <c r="A21" s="6" t="n"/>
      <c r="B21" s="63" t="inlineStr">
        <is>
          <t>DP-13</t>
        </is>
      </c>
      <c r="C21" s="43" t="inlineStr">
        <is>
          <t>Data Mapping</t>
        </is>
      </c>
      <c r="D21" s="44" t="inlineStr">
        <is>
          <t>Data inventory / Record of Processing Activities (RoPA)</t>
        </is>
      </c>
      <c r="E21" s="55" t="inlineStr">
        <is>
          <t>Document what personal data is held, where, why, retention, legal basis</t>
        </is>
      </c>
      <c r="F21" s="45" t="inlineStr">
        <is>
          <t>⬜ Not Started</t>
        </is>
      </c>
      <c r="G21" s="46" t="inlineStr">
        <is>
          <t>DPO / CFO</t>
        </is>
      </c>
      <c r="H21" s="46" t="inlineStr">
        <is>
          <t>May 2026</t>
        </is>
      </c>
      <c r="I21" s="47" t="inlineStr">
        <is>
          <t>RoPA document</t>
        </is>
      </c>
      <c r="J21" s="48" t="inlineStr"/>
      <c r="K21" s="47" t="inlineStr">
        <is>
          <t>GDPR Article 30 — mandatory for most organisations</t>
        </is>
      </c>
      <c r="L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</row>
  </sheetData>
  <mergeCells count="4">
    <mergeCell ref="B2:L2"/>
    <mergeCell ref="B4:F4"/>
    <mergeCell ref="G4:L4"/>
    <mergeCell ref="B3:L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00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7" customWidth="1" min="2" max="2"/>
    <col width="18" customWidth="1" min="3" max="3"/>
    <col width="32" customWidth="1" min="4" max="4"/>
    <col width="45" customWidth="1" min="5" max="5"/>
    <col width="16" customWidth="1" min="6" max="6"/>
    <col width="14" customWidth="1" min="7" max="7"/>
    <col width="12" customWidth="1" min="8" max="8"/>
    <col width="28" customWidth="1" min="9" max="9"/>
    <col width="14" customWidth="1" min="10" max="10"/>
    <col width="24" customWidth="1" min="11" max="11"/>
    <col width="2" customWidth="1" min="12" max="12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0" customHeight="1">
      <c r="A2" s="1" t="n"/>
      <c r="B2" s="62" t="inlineStr">
        <is>
          <t>CHARITY COMMISSION &amp; CIC  —  COMPLIANCE CHECKLIST</t>
        </is>
      </c>
    </row>
    <row r="3" ht="18" customHeight="1">
      <c r="A3" s="1" t="n"/>
      <c r="B3" s="34" t="inlineStr">
        <is>
          <t>Annual return, SORP reporting, trustees, conflict of interest, CIC statement, gift aid registration</t>
        </is>
      </c>
    </row>
    <row r="4" ht="16" customHeight="1">
      <c r="A4" s="1" t="n"/>
      <c r="B4" s="4">
        <f>IFERROR(F7,0)</f>
        <v/>
      </c>
      <c r="G4" s="5" t="inlineStr">
        <is>
          <t>Regulatory Basis: Charities Act 2011 · Charity Commission CC3/CC19/CC29 · Companies Act 2006 (CIC) · HMRC Charities</t>
        </is>
      </c>
    </row>
    <row r="5" ht="14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 ht="10" customHeight="1">
      <c r="A6" s="1" t="n"/>
      <c r="B6" s="35" t="inlineStr">
        <is>
          <t>Total Items</t>
        </is>
      </c>
      <c r="C6" s="35" t="inlineStr">
        <is>
          <t>✅ Complete</t>
        </is>
      </c>
      <c r="D6" s="35" t="inlineStr">
        <is>
          <t>🔄 In Progress</t>
        </is>
      </c>
      <c r="E6" s="35" t="inlineStr">
        <is>
          <t>⬜ Not Started</t>
        </is>
      </c>
      <c r="F6" s="35" t="inlineStr">
        <is>
          <t>% Complete</t>
        </is>
      </c>
      <c r="G6" s="1" t="n"/>
      <c r="H6" s="1" t="n"/>
      <c r="I6" s="1" t="n"/>
      <c r="J6" s="1" t="n"/>
      <c r="K6" s="1" t="n"/>
      <c r="L6" s="1" t="n"/>
    </row>
    <row r="7" ht="20" customHeight="1">
      <c r="A7" s="6" t="n"/>
      <c r="B7" s="36">
        <f>COUNTA(E8:E500)</f>
        <v/>
      </c>
      <c r="C7" s="37">
        <f>COUNTIF(E8:E500,"✅ Complete")</f>
        <v/>
      </c>
      <c r="D7" s="38">
        <f>COUNTIF(E8:E500,"🔄 In Progress")</f>
        <v/>
      </c>
      <c r="E7" s="39">
        <f>COUNTIF(E8:E500,"⬜ Not Started")</f>
        <v/>
      </c>
      <c r="F7" s="40">
        <f>IFERROR(C7/B7,0)</f>
        <v/>
      </c>
      <c r="G7" s="6" t="n"/>
      <c r="H7" s="6" t="n"/>
      <c r="I7" s="6" t="n"/>
      <c r="J7" s="6" t="n"/>
      <c r="K7" s="6" t="n"/>
      <c r="L7" s="6" t="n"/>
    </row>
    <row r="8" ht="20" customHeight="1">
      <c r="A8" s="6" t="n"/>
      <c r="B8" s="41" t="inlineStr">
        <is>
          <t>Ref</t>
        </is>
      </c>
      <c r="C8" s="41" t="inlineStr">
        <is>
          <t>Category</t>
        </is>
      </c>
      <c r="D8" s="41" t="inlineStr">
        <is>
          <t>Requirement</t>
        </is>
      </c>
      <c r="E8" s="41" t="inlineStr">
        <is>
          <t>Detail / What is Needed</t>
        </is>
      </c>
      <c r="F8" s="41" t="inlineStr">
        <is>
          <t>Status</t>
        </is>
      </c>
      <c r="G8" s="41" t="inlineStr">
        <is>
          <t>Owner</t>
        </is>
      </c>
      <c r="H8" s="41" t="inlineStr">
        <is>
          <t>Target Date</t>
        </is>
      </c>
      <c r="I8" s="41" t="inlineStr">
        <is>
          <t>Evidence Required</t>
        </is>
      </c>
      <c r="J8" s="41" t="inlineStr">
        <is>
          <t>Date Completed</t>
        </is>
      </c>
      <c r="K8" s="41" t="inlineStr">
        <is>
          <t>Notes</t>
        </is>
      </c>
      <c r="L8" s="6" t="n"/>
    </row>
    <row r="9" ht="32" customHeight="1">
      <c r="A9" s="6" t="n"/>
      <c r="B9" s="63" t="inlineStr">
        <is>
          <t>CC-01</t>
        </is>
      </c>
      <c r="C9" s="43" t="inlineStr">
        <is>
          <t>Charity Commission</t>
        </is>
      </c>
      <c r="D9" s="44" t="inlineStr">
        <is>
          <t>Annual Return filing tracking</t>
        </is>
      </c>
      <c r="E9" s="43" t="inlineStr">
        <is>
          <t>Deadline in compliance calendar — must be filed within 10 months of year end</t>
        </is>
      </c>
      <c r="F9" s="45" t="inlineStr">
        <is>
          <t>✅ Complete</t>
        </is>
      </c>
      <c r="G9" s="46" t="inlineStr">
        <is>
          <t>CFO</t>
        </is>
      </c>
      <c r="H9" s="46" t="inlineStr">
        <is>
          <t>Live</t>
        </is>
      </c>
      <c r="I9" s="47" t="inlineStr">
        <is>
          <t>Compliance calendar evidence</t>
        </is>
      </c>
      <c r="J9" s="48" t="inlineStr"/>
      <c r="K9" s="47" t="inlineStr"/>
      <c r="L9" s="6" t="n"/>
    </row>
    <row r="10" ht="32" customHeight="1">
      <c r="A10" s="6" t="n"/>
      <c r="B10" s="63" t="inlineStr">
        <is>
          <t>CC-02</t>
        </is>
      </c>
      <c r="C10" s="43" t="inlineStr">
        <is>
          <t>Charity Commission</t>
        </is>
      </c>
      <c r="D10" s="49" t="inlineStr">
        <is>
          <t>Independent examiner review tracking</t>
        </is>
      </c>
      <c r="E10" s="43" t="inlineStr">
        <is>
          <t>Deadline tracked — independent examination required for income &lt;£1m</t>
        </is>
      </c>
      <c r="F10" s="50" t="inlineStr">
        <is>
          <t>✅ Complete</t>
        </is>
      </c>
      <c r="G10" s="51" t="inlineStr">
        <is>
          <t>CFO</t>
        </is>
      </c>
      <c r="H10" s="51" t="inlineStr">
        <is>
          <t>Live</t>
        </is>
      </c>
      <c r="I10" s="52" t="inlineStr">
        <is>
          <t>Compliance calendar evidence</t>
        </is>
      </c>
      <c r="J10" s="53" t="inlineStr"/>
      <c r="K10" s="52" t="inlineStr"/>
      <c r="L10" s="6" t="n"/>
    </row>
    <row r="11" ht="32" customHeight="1">
      <c r="A11" s="6" t="n"/>
      <c r="B11" s="63" t="inlineStr">
        <is>
          <t>CC-03</t>
        </is>
      </c>
      <c r="C11" s="43" t="inlineStr">
        <is>
          <t>Charity Commission</t>
        </is>
      </c>
      <c r="D11" s="44" t="inlineStr">
        <is>
          <t>Trustees' Annual Report (TAR)</t>
        </is>
      </c>
      <c r="E11" s="55" t="inlineStr">
        <is>
          <t>Narrative TAR meeting Charity Commission requirements — activities, achievements, future plans</t>
        </is>
      </c>
      <c r="F11" s="45" t="inlineStr">
        <is>
          <t>⬜ Not Started</t>
        </is>
      </c>
      <c r="G11" s="46" t="inlineStr">
        <is>
          <t>CFO</t>
        </is>
      </c>
      <c r="H11" s="46" t="inlineStr">
        <is>
          <t>Jun 2026</t>
        </is>
      </c>
      <c r="I11" s="47" t="inlineStr">
        <is>
          <t>TAR reviewed by trustee board</t>
        </is>
      </c>
      <c r="J11" s="48" t="inlineStr"/>
      <c r="K11" s="47" t="inlineStr">
        <is>
          <t>AI narrative exists but not in structured TAR format</t>
        </is>
      </c>
      <c r="L11" s="6" t="n"/>
    </row>
    <row r="12" ht="32" customHeight="1">
      <c r="A12" s="6" t="n"/>
      <c r="B12" s="63" t="inlineStr">
        <is>
          <t>CC-04</t>
        </is>
      </c>
      <c r="C12" s="43" t="inlineStr">
        <is>
          <t>Charity Commission</t>
        </is>
      </c>
      <c r="D12" s="49" t="inlineStr">
        <is>
          <t>Charitable objectives compliance</t>
        </is>
      </c>
      <c r="E12" s="55" t="inlineStr">
        <is>
          <t>Record how each programme delivers against stated CIC/charitable objectives</t>
        </is>
      </c>
      <c r="F12" s="50" t="inlineStr">
        <is>
          <t>⬜ Not Started</t>
        </is>
      </c>
      <c r="G12" s="51" t="inlineStr">
        <is>
          <t>CFO</t>
        </is>
      </c>
      <c r="H12" s="51" t="inlineStr">
        <is>
          <t>Jun 2026</t>
        </is>
      </c>
      <c r="I12" s="52" t="inlineStr">
        <is>
          <t>Board approval of objectives mapping</t>
        </is>
      </c>
      <c r="J12" s="53" t="inlineStr"/>
      <c r="K12" s="52" t="inlineStr"/>
      <c r="L12" s="6" t="n"/>
    </row>
    <row r="13" ht="32" customHeight="1">
      <c r="A13" s="6" t="n"/>
      <c r="B13" s="63" t="inlineStr">
        <is>
          <t>CC-05</t>
        </is>
      </c>
      <c r="C13" s="54" t="inlineStr">
        <is>
          <t>Charity SORP</t>
        </is>
      </c>
      <c r="D13" s="44" t="inlineStr">
        <is>
          <t>Statement of Financial Activities (SoFA)</t>
        </is>
      </c>
      <c r="E13" s="55" t="inlineStr">
        <is>
          <t>SORP FRS 102 compliant SoFA — restricted, unrestricted, endowment columns</t>
        </is>
      </c>
      <c r="F13" s="45" t="inlineStr">
        <is>
          <t>⬜ Not Started</t>
        </is>
      </c>
      <c r="G13" s="46" t="inlineStr">
        <is>
          <t>CFO</t>
        </is>
      </c>
      <c r="H13" s="46" t="inlineStr">
        <is>
          <t>May 2026</t>
        </is>
      </c>
      <c r="I13" s="47" t="inlineStr">
        <is>
          <t>Independent examiner sign-off</t>
        </is>
      </c>
      <c r="J13" s="48" t="inlineStr"/>
      <c r="K13" s="47" t="inlineStr">
        <is>
          <t>Requires FA-08 (restricted fund accounting) to be built first</t>
        </is>
      </c>
      <c r="L13" s="6" t="n"/>
    </row>
    <row r="14" ht="32" customHeight="1">
      <c r="A14" s="6" t="n"/>
      <c r="B14" s="63" t="inlineStr">
        <is>
          <t>CC-06</t>
        </is>
      </c>
      <c r="C14" s="54" t="inlineStr">
        <is>
          <t>Charity SORP</t>
        </is>
      </c>
      <c r="D14" s="49" t="inlineStr">
        <is>
          <t>Reserves policy document and enforcement</t>
        </is>
      </c>
      <c r="E14" s="55" t="inlineStr">
        <is>
          <t>Documented reserves target (3–6 months), current level, variance explanation</t>
        </is>
      </c>
      <c r="F14" s="50" t="inlineStr">
        <is>
          <t>⬜ Not Started</t>
        </is>
      </c>
      <c r="G14" s="51" t="inlineStr">
        <is>
          <t>CFO</t>
        </is>
      </c>
      <c r="H14" s="51" t="inlineStr">
        <is>
          <t>Apr 2026</t>
        </is>
      </c>
      <c r="I14" s="52" t="inlineStr">
        <is>
          <t>Board resolution approving reserves policy</t>
        </is>
      </c>
      <c r="J14" s="53" t="inlineStr"/>
      <c r="K14" s="52" t="inlineStr">
        <is>
          <t>Cash runway shown but no formal policy</t>
        </is>
      </c>
      <c r="L14" s="6" t="n"/>
    </row>
    <row r="15" ht="32" customHeight="1">
      <c r="A15" s="6" t="n"/>
      <c r="B15" s="63" t="inlineStr">
        <is>
          <t>CC-07</t>
        </is>
      </c>
      <c r="C15" s="55" t="inlineStr">
        <is>
          <t>CIC Compliance</t>
        </is>
      </c>
      <c r="D15" s="44" t="inlineStr">
        <is>
          <t>CIC Community Interest Statement</t>
        </is>
      </c>
      <c r="E15" s="55" t="inlineStr">
        <is>
          <t>Annual statement: activities, beneficiaries, community benefit, assets locked</t>
        </is>
      </c>
      <c r="F15" s="45" t="inlineStr">
        <is>
          <t>⬜ Not Started</t>
        </is>
      </c>
      <c r="G15" s="46" t="inlineStr">
        <is>
          <t>CFO</t>
        </is>
      </c>
      <c r="H15" s="46" t="inlineStr">
        <is>
          <t>Jun 2026</t>
        </is>
      </c>
      <c r="I15" s="47" t="inlineStr">
        <is>
          <t>Filed with Companies House</t>
        </is>
      </c>
      <c r="J15" s="48" t="inlineStr"/>
      <c r="K15" s="47" t="inlineStr">
        <is>
          <t>Specific to CIC legal structure — filed alongside annual accounts</t>
        </is>
      </c>
      <c r="L15" s="6" t="n"/>
    </row>
    <row r="16" ht="32" customHeight="1">
      <c r="A16" s="6" t="n"/>
      <c r="B16" s="63" t="inlineStr">
        <is>
          <t>CC-08</t>
        </is>
      </c>
      <c r="C16" s="55" t="inlineStr">
        <is>
          <t>CIC Compliance</t>
        </is>
      </c>
      <c r="D16" s="49" t="inlineStr">
        <is>
          <t>Asset lock compliance tracking</t>
        </is>
      </c>
      <c r="E16" s="55" t="inlineStr">
        <is>
          <t>Record confirming no distributions to shareholders — asset lock status</t>
        </is>
      </c>
      <c r="F16" s="50" t="inlineStr">
        <is>
          <t>⬜ Not Started</t>
        </is>
      </c>
      <c r="G16" s="51" t="inlineStr">
        <is>
          <t>CFO</t>
        </is>
      </c>
      <c r="H16" s="51" t="inlineStr">
        <is>
          <t>Jun 2026</t>
        </is>
      </c>
      <c r="I16" s="52" t="inlineStr">
        <is>
          <t>Companies House confirmation</t>
        </is>
      </c>
      <c r="J16" s="53" t="inlineStr"/>
      <c r="K16" s="52" t="inlineStr">
        <is>
          <t>Fundamental to CIC legal status</t>
        </is>
      </c>
      <c r="L16" s="6" t="n"/>
    </row>
    <row r="17" ht="32" customHeight="1">
      <c r="A17" s="6" t="n"/>
      <c r="B17" s="63" t="inlineStr">
        <is>
          <t>CC-09</t>
        </is>
      </c>
      <c r="C17" s="56" t="inlineStr">
        <is>
          <t>Governance</t>
        </is>
      </c>
      <c r="D17" s="44" t="inlineStr">
        <is>
          <t>Conflict of interest register</t>
        </is>
      </c>
      <c r="E17" s="55" t="inlineStr">
        <is>
          <t>Trustee/director conflicts declared, date, action taken, resolution</t>
        </is>
      </c>
      <c r="F17" s="45" t="inlineStr">
        <is>
          <t>⬜ Not Started</t>
        </is>
      </c>
      <c r="G17" s="46" t="inlineStr">
        <is>
          <t>CFO</t>
        </is>
      </c>
      <c r="H17" s="46" t="inlineStr">
        <is>
          <t>Apr 2026</t>
        </is>
      </c>
      <c r="I17" s="47" t="inlineStr">
        <is>
          <t>Board signed register</t>
        </is>
      </c>
      <c r="J17" s="48" t="inlineStr"/>
      <c r="K17" s="47" t="inlineStr">
        <is>
          <t>Charity Commission requirement — CC29 guidance</t>
        </is>
      </c>
      <c r="L17" s="6" t="n"/>
    </row>
    <row r="18" ht="32" customHeight="1">
      <c r="A18" s="6" t="n"/>
      <c r="B18" s="63" t="inlineStr">
        <is>
          <t>CC-10</t>
        </is>
      </c>
      <c r="C18" s="56" t="inlineStr">
        <is>
          <t>Governance</t>
        </is>
      </c>
      <c r="D18" s="49" t="inlineStr">
        <is>
          <t>Trustee / director register</t>
        </is>
      </c>
      <c r="E18" s="55" t="inlineStr">
        <is>
          <t>Full register: name, appointed date, resigned date, role, Companies House reference</t>
        </is>
      </c>
      <c r="F18" s="50" t="inlineStr">
        <is>
          <t>⬜ Not Started</t>
        </is>
      </c>
      <c r="G18" s="51" t="inlineStr">
        <is>
          <t>CFO</t>
        </is>
      </c>
      <c r="H18" s="51" t="inlineStr">
        <is>
          <t>Apr 2026</t>
        </is>
      </c>
      <c r="I18" s="52" t="inlineStr">
        <is>
          <t>Companies House match</t>
        </is>
      </c>
      <c r="J18" s="53" t="inlineStr"/>
      <c r="K18" s="52" t="inlineStr"/>
      <c r="L18" s="6" t="n"/>
    </row>
    <row r="19" ht="32" customHeight="1">
      <c r="A19" s="6" t="n"/>
      <c r="B19" s="63" t="inlineStr">
        <is>
          <t>CC-11</t>
        </is>
      </c>
      <c r="C19" s="56" t="inlineStr">
        <is>
          <t>Governance</t>
        </is>
      </c>
      <c r="D19" s="44" t="inlineStr">
        <is>
          <t>Related party transaction register</t>
        </is>
      </c>
      <c r="E19" s="55" t="inlineStr">
        <is>
          <t>All financial transactions with trustees or connected persons disclosed</t>
        </is>
      </c>
      <c r="F19" s="45" t="inlineStr">
        <is>
          <t>⬜ Not Started</t>
        </is>
      </c>
      <c r="G19" s="46" t="inlineStr">
        <is>
          <t>CFO</t>
        </is>
      </c>
      <c r="H19" s="46" t="inlineStr">
        <is>
          <t>May 2026</t>
        </is>
      </c>
      <c r="I19" s="47" t="inlineStr">
        <is>
          <t>Board approval + notes in accounts</t>
        </is>
      </c>
      <c r="J19" s="48" t="inlineStr"/>
      <c r="K19" s="47" t="inlineStr">
        <is>
          <t>Charity Commission CC29</t>
        </is>
      </c>
      <c r="L19" s="6" t="n"/>
    </row>
    <row r="20" ht="32" customHeight="1">
      <c r="A20" s="6" t="n"/>
      <c r="B20" s="63" t="inlineStr">
        <is>
          <t>CC-12</t>
        </is>
      </c>
      <c r="C20" s="56" t="inlineStr">
        <is>
          <t>Governance</t>
        </is>
      </c>
      <c r="D20" s="49" t="inlineStr">
        <is>
          <t>Gift Aid HMRC Charities registration</t>
        </is>
      </c>
      <c r="E20" s="55" t="inlineStr">
        <is>
          <t>Charity registered with HMRC to claim Gift Aid — charity reference number</t>
        </is>
      </c>
      <c r="F20" s="50" t="inlineStr">
        <is>
          <t>⬜ Not Started</t>
        </is>
      </c>
      <c r="G20" s="51" t="inlineStr">
        <is>
          <t>CFO</t>
        </is>
      </c>
      <c r="H20" s="51" t="inlineStr">
        <is>
          <t>URGENT</t>
        </is>
      </c>
      <c r="I20" s="52" t="inlineStr">
        <is>
          <t>HMRC charity authorisation letter</t>
        </is>
      </c>
      <c r="J20" s="53" t="inlineStr"/>
      <c r="K20" s="52" t="inlineStr">
        <is>
          <t>Required before any Gift Aid claim can be made</t>
        </is>
      </c>
      <c r="L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</row>
  </sheetData>
  <mergeCells count="4">
    <mergeCell ref="B2:L2"/>
    <mergeCell ref="B4:F4"/>
    <mergeCell ref="G4:L4"/>
    <mergeCell ref="B3:L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0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7" customWidth="1" min="2" max="2"/>
    <col width="18" customWidth="1" min="3" max="3"/>
    <col width="32" customWidth="1" min="4" max="4"/>
    <col width="45" customWidth="1" min="5" max="5"/>
    <col width="16" customWidth="1" min="6" max="6"/>
    <col width="14" customWidth="1" min="7" max="7"/>
    <col width="12" customWidth="1" min="8" max="8"/>
    <col width="28" customWidth="1" min="9" max="9"/>
    <col width="14" customWidth="1" min="10" max="10"/>
    <col width="24" customWidth="1" min="11" max="11"/>
    <col width="2" customWidth="1" min="12" max="12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0" customHeight="1">
      <c r="A2" s="1" t="n"/>
      <c r="B2" s="62" t="inlineStr">
        <is>
          <t>DATA SECURITY &amp; CYBER  —  COMPLIANCE CHECKLIST</t>
        </is>
      </c>
    </row>
    <row r="3" ht="18" customHeight="1">
      <c r="A3" s="1" t="n"/>
      <c r="B3" s="34" t="inlineStr">
        <is>
          <t>Authentication hardening, immutable audit trail, 2FA, encryption, Cyber Essentials, pen test</t>
        </is>
      </c>
    </row>
    <row r="4" ht="16" customHeight="1">
      <c r="A4" s="1" t="n"/>
      <c r="B4" s="4">
        <f>IFERROR(F7,0)</f>
        <v/>
      </c>
      <c r="G4" s="5" t="inlineStr">
        <is>
          <t>Regulatory Basis: UK GDPR Article 32 · ISO 27001 · Cyber Essentials Scheme · NCSC guidelines</t>
        </is>
      </c>
    </row>
    <row r="5" ht="14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 ht="10" customHeight="1">
      <c r="A6" s="1" t="n"/>
      <c r="B6" s="35" t="inlineStr">
        <is>
          <t>Total Items</t>
        </is>
      </c>
      <c r="C6" s="35" t="inlineStr">
        <is>
          <t>✅ Complete</t>
        </is>
      </c>
      <c r="D6" s="35" t="inlineStr">
        <is>
          <t>🔄 In Progress</t>
        </is>
      </c>
      <c r="E6" s="35" t="inlineStr">
        <is>
          <t>⬜ Not Started</t>
        </is>
      </c>
      <c r="F6" s="35" t="inlineStr">
        <is>
          <t>% Complete</t>
        </is>
      </c>
      <c r="G6" s="1" t="n"/>
      <c r="H6" s="1" t="n"/>
      <c r="I6" s="1" t="n"/>
      <c r="J6" s="1" t="n"/>
      <c r="K6" s="1" t="n"/>
      <c r="L6" s="1" t="n"/>
    </row>
    <row r="7" ht="20" customHeight="1">
      <c r="A7" s="6" t="n"/>
      <c r="B7" s="36">
        <f>COUNTA(E8:E500)</f>
        <v/>
      </c>
      <c r="C7" s="37">
        <f>COUNTIF(E8:E500,"✅ Complete")</f>
        <v/>
      </c>
      <c r="D7" s="38">
        <f>COUNTIF(E8:E500,"🔄 In Progress")</f>
        <v/>
      </c>
      <c r="E7" s="39">
        <f>COUNTIF(E8:E500,"⬜ Not Started")</f>
        <v/>
      </c>
      <c r="F7" s="40">
        <f>IFERROR(C7/B7,0)</f>
        <v/>
      </c>
      <c r="G7" s="6" t="n"/>
      <c r="H7" s="6" t="n"/>
      <c r="I7" s="6" t="n"/>
      <c r="J7" s="6" t="n"/>
      <c r="K7" s="6" t="n"/>
      <c r="L7" s="6" t="n"/>
    </row>
    <row r="8" ht="20" customHeight="1">
      <c r="A8" s="6" t="n"/>
      <c r="B8" s="41" t="inlineStr">
        <is>
          <t>Ref</t>
        </is>
      </c>
      <c r="C8" s="41" t="inlineStr">
        <is>
          <t>Category</t>
        </is>
      </c>
      <c r="D8" s="41" t="inlineStr">
        <is>
          <t>Requirement</t>
        </is>
      </c>
      <c r="E8" s="41" t="inlineStr">
        <is>
          <t>Detail / What is Needed</t>
        </is>
      </c>
      <c r="F8" s="41" t="inlineStr">
        <is>
          <t>Status</t>
        </is>
      </c>
      <c r="G8" s="41" t="inlineStr">
        <is>
          <t>Owner</t>
        </is>
      </c>
      <c r="H8" s="41" t="inlineStr">
        <is>
          <t>Target Date</t>
        </is>
      </c>
      <c r="I8" s="41" t="inlineStr">
        <is>
          <t>Evidence Required</t>
        </is>
      </c>
      <c r="J8" s="41" t="inlineStr">
        <is>
          <t>Date Completed</t>
        </is>
      </c>
      <c r="K8" s="41" t="inlineStr">
        <is>
          <t>Notes</t>
        </is>
      </c>
      <c r="L8" s="6" t="n"/>
    </row>
    <row r="9" ht="32" customHeight="1">
      <c r="A9" s="6" t="n"/>
      <c r="B9" s="63" t="inlineStr">
        <is>
          <t>SEC-01</t>
        </is>
      </c>
      <c r="C9" s="43" t="inlineStr">
        <is>
          <t>Authentication</t>
        </is>
      </c>
      <c r="D9" s="44" t="inlineStr">
        <is>
          <t>bcrypt password hashing</t>
        </is>
      </c>
      <c r="E9" s="43" t="inlineStr">
        <is>
          <t>All passwords hashed using bcrypt via passlib — no plain text storage</t>
        </is>
      </c>
      <c r="F9" s="45" t="inlineStr">
        <is>
          <t>✅ Complete</t>
        </is>
      </c>
      <c r="G9" s="46" t="inlineStr">
        <is>
          <t>Tech Lead</t>
        </is>
      </c>
      <c r="H9" s="46" t="inlineStr">
        <is>
          <t>Live</t>
        </is>
      </c>
      <c r="I9" s="47" t="inlineStr">
        <is>
          <t>Code review</t>
        </is>
      </c>
      <c r="J9" s="48" t="inlineStr"/>
      <c r="K9" s="47" t="inlineStr"/>
      <c r="L9" s="6" t="n"/>
    </row>
    <row r="10" ht="32" customHeight="1">
      <c r="A10" s="6" t="n"/>
      <c r="B10" s="63" t="inlineStr">
        <is>
          <t>SEC-02</t>
        </is>
      </c>
      <c r="C10" s="43" t="inlineStr">
        <is>
          <t>Authentication</t>
        </is>
      </c>
      <c r="D10" s="49" t="inlineStr">
        <is>
          <t>JWT authentication (24hr expiry)</t>
        </is>
      </c>
      <c r="E10" s="43" t="inlineStr">
        <is>
          <t>JWT tokens with 24-hour expiry, signed with ALGORITHM = HS256</t>
        </is>
      </c>
      <c r="F10" s="50" t="inlineStr">
        <is>
          <t>✅ Complete</t>
        </is>
      </c>
      <c r="G10" s="51" t="inlineStr">
        <is>
          <t>Tech Lead</t>
        </is>
      </c>
      <c r="H10" s="51" t="inlineStr">
        <is>
          <t>Live</t>
        </is>
      </c>
      <c r="I10" s="52" t="inlineStr">
        <is>
          <t>Code review</t>
        </is>
      </c>
      <c r="J10" s="53" t="inlineStr"/>
      <c r="K10" s="52" t="inlineStr"/>
      <c r="L10" s="6" t="n"/>
    </row>
    <row r="11" ht="32" customHeight="1">
      <c r="A11" s="6" t="n"/>
      <c r="B11" s="63" t="inlineStr">
        <is>
          <t>SEC-03</t>
        </is>
      </c>
      <c r="C11" s="43" t="inlineStr">
        <is>
          <t>Authentication</t>
        </is>
      </c>
      <c r="D11" s="44" t="inlineStr">
        <is>
          <t>Role-based access control (5 roles)</t>
        </is>
      </c>
      <c r="E11" s="43" t="inlineStr">
        <is>
          <t>CFO, Finance Manager, Programme Manager, Admin, Viewer</t>
        </is>
      </c>
      <c r="F11" s="45" t="inlineStr">
        <is>
          <t>✅ Complete</t>
        </is>
      </c>
      <c r="G11" s="46" t="inlineStr">
        <is>
          <t>Tech Lead</t>
        </is>
      </c>
      <c r="H11" s="46" t="inlineStr">
        <is>
          <t>Live</t>
        </is>
      </c>
      <c r="I11" s="47" t="inlineStr">
        <is>
          <t>Code review + test results</t>
        </is>
      </c>
      <c r="J11" s="48" t="inlineStr"/>
      <c r="K11" s="47" t="inlineStr"/>
      <c r="L11" s="6" t="n"/>
    </row>
    <row r="12" ht="32" customHeight="1">
      <c r="A12" s="6" t="n"/>
      <c r="B12" s="63" t="inlineStr">
        <is>
          <t>SEC-04</t>
        </is>
      </c>
      <c r="C12" s="43" t="inlineStr">
        <is>
          <t>Authentication</t>
        </is>
      </c>
      <c r="D12" s="49" t="inlineStr">
        <is>
          <t>Session revocation (JWT blacklist)</t>
        </is>
      </c>
      <c r="E12" s="55" t="inlineStr">
        <is>
          <t>Redis-backed token blacklist — invalidate tokens on logout or deactivation</t>
        </is>
      </c>
      <c r="F12" s="50" t="inlineStr">
        <is>
          <t>⬜ Not Started</t>
        </is>
      </c>
      <c r="G12" s="51" t="inlineStr">
        <is>
          <t>Tech Lead</t>
        </is>
      </c>
      <c r="H12" s="51" t="inlineStr">
        <is>
          <t>Apr 2026</t>
        </is>
      </c>
      <c r="I12" s="52" t="inlineStr">
        <is>
          <t>Logout invalidation test</t>
        </is>
      </c>
      <c r="J12" s="53" t="inlineStr"/>
      <c r="K12" s="52" t="inlineStr">
        <is>
          <t>Without this, terminated employee tokens remain valid until expiry</t>
        </is>
      </c>
      <c r="L12" s="6" t="n"/>
    </row>
    <row r="13" ht="32" customHeight="1">
      <c r="A13" s="6" t="n"/>
      <c r="B13" s="63" t="inlineStr">
        <is>
          <t>SEC-05</t>
        </is>
      </c>
      <c r="C13" s="43" t="inlineStr">
        <is>
          <t>Authentication</t>
        </is>
      </c>
      <c r="D13" s="44" t="inlineStr">
        <is>
          <t>Rate limiting on login endpoint</t>
        </is>
      </c>
      <c r="E13" s="55" t="inlineStr">
        <is>
          <t>Max 5 failed attempts per IP per 15 minutes — brute force protection</t>
        </is>
      </c>
      <c r="F13" s="45" t="inlineStr">
        <is>
          <t>⬜ Not Started</t>
        </is>
      </c>
      <c r="G13" s="46" t="inlineStr">
        <is>
          <t>Tech Lead</t>
        </is>
      </c>
      <c r="H13" s="46" t="inlineStr">
        <is>
          <t>Mar 2026</t>
        </is>
      </c>
      <c r="I13" s="47" t="inlineStr">
        <is>
          <t>Brute force test</t>
        </is>
      </c>
      <c r="J13" s="48" t="inlineStr"/>
      <c r="K13" s="47" t="inlineStr"/>
      <c r="L13" s="6" t="n"/>
    </row>
    <row r="14" ht="32" customHeight="1">
      <c r="A14" s="6" t="n"/>
      <c r="B14" s="63" t="inlineStr">
        <is>
          <t>SEC-06</t>
        </is>
      </c>
      <c r="C14" s="54" t="inlineStr">
        <is>
          <t>Multi-Factor Auth</t>
        </is>
      </c>
      <c r="D14" s="49" t="inlineStr">
        <is>
          <t>Two-factor authentication (TOTP)</t>
        </is>
      </c>
      <c r="E14" s="55" t="inlineStr">
        <is>
          <t>TOTP-based 2FA using pyotp — mandatory for CFO and Finance Manager roles</t>
        </is>
      </c>
      <c r="F14" s="50" t="inlineStr">
        <is>
          <t>⬜ Not Started</t>
        </is>
      </c>
      <c r="G14" s="51" t="inlineStr">
        <is>
          <t>Tech Lead</t>
        </is>
      </c>
      <c r="H14" s="51" t="inlineStr">
        <is>
          <t>Apr 2026</t>
        </is>
      </c>
      <c r="I14" s="52" t="inlineStr">
        <is>
          <t>2FA enrolment and login test</t>
        </is>
      </c>
      <c r="J14" s="53" t="inlineStr"/>
      <c r="K14" s="52" t="inlineStr">
        <is>
          <t>HMRC and Charity Commission recommend MFA for financial systems</t>
        </is>
      </c>
      <c r="L14" s="6" t="n"/>
    </row>
    <row r="15" ht="32" customHeight="1">
      <c r="A15" s="6" t="n"/>
      <c r="B15" s="63" t="inlineStr">
        <is>
          <t>SEC-07</t>
        </is>
      </c>
      <c r="C15" s="55" t="inlineStr">
        <is>
          <t>Audit Trail</t>
        </is>
      </c>
      <c r="D15" s="44" t="inlineStr">
        <is>
          <t>Immutable audit log model</t>
        </is>
      </c>
      <c r="E15" s="55" t="inlineStr">
        <is>
          <t>AuditLog table: user, action, entity, field changed, old/new value, IP, timestamp — append only</t>
        </is>
      </c>
      <c r="F15" s="45" t="inlineStr">
        <is>
          <t>⬜ Not Started</t>
        </is>
      </c>
      <c r="G15" s="46" t="inlineStr">
        <is>
          <t>Tech Lead</t>
        </is>
      </c>
      <c r="H15" s="46" t="inlineStr">
        <is>
          <t>Apr 2026</t>
        </is>
      </c>
      <c r="I15" s="47" t="inlineStr">
        <is>
          <t>Audit trail test — no records editable or deletable</t>
        </is>
      </c>
      <c r="J15" s="48" t="inlineStr"/>
      <c r="K15" s="47" t="inlineStr">
        <is>
          <t>Required by HMRC, Charity Commission, and ISO 27001</t>
        </is>
      </c>
      <c r="L15" s="6" t="n"/>
    </row>
    <row r="16" ht="32" customHeight="1">
      <c r="A16" s="6" t="n"/>
      <c r="B16" s="63" t="inlineStr">
        <is>
          <t>SEC-08</t>
        </is>
      </c>
      <c r="C16" s="55" t="inlineStr">
        <is>
          <t>Audit Trail</t>
        </is>
      </c>
      <c r="D16" s="49" t="inlineStr">
        <is>
          <t>Middleware logging all state changes</t>
        </is>
      </c>
      <c r="E16" s="55" t="inlineStr">
        <is>
          <t>Every POST/PUT/PATCH/DELETE writes to audit log with before/after values</t>
        </is>
      </c>
      <c r="F16" s="50" t="inlineStr">
        <is>
          <t>⬜ Not Started</t>
        </is>
      </c>
      <c r="G16" s="51" t="inlineStr">
        <is>
          <t>Tech Lead</t>
        </is>
      </c>
      <c r="H16" s="51" t="inlineStr">
        <is>
          <t>Apr 2026</t>
        </is>
      </c>
      <c r="I16" s="52" t="inlineStr">
        <is>
          <t>Audit trail completeness test</t>
        </is>
      </c>
      <c r="J16" s="53" t="inlineStr"/>
      <c r="K16" s="52" t="inlineStr"/>
      <c r="L16" s="6" t="n"/>
    </row>
    <row r="17" ht="32" customHeight="1">
      <c r="A17" s="6" t="n"/>
      <c r="B17" s="63" t="inlineStr">
        <is>
          <t>SEC-09</t>
        </is>
      </c>
      <c r="C17" s="56" t="inlineStr">
        <is>
          <t>Data Security</t>
        </is>
      </c>
      <c r="D17" s="44" t="inlineStr">
        <is>
          <t>HTTPS enforcement at application level</t>
        </is>
      </c>
      <c r="E17" s="54" t="inlineStr">
        <is>
          <t>HTTPS redirect, HSTS headers, no plain HTTP access</t>
        </is>
      </c>
      <c r="F17" s="45" t="inlineStr">
        <is>
          <t>🔄 In Progress</t>
        </is>
      </c>
      <c r="G17" s="46" t="inlineStr">
        <is>
          <t>Tech Lead</t>
        </is>
      </c>
      <c r="H17" s="46" t="inlineStr">
        <is>
          <t>Live</t>
        </is>
      </c>
      <c r="I17" s="47" t="inlineStr">
        <is>
          <t>Security headers test (securityheaders.com)</t>
        </is>
      </c>
      <c r="J17" s="48" t="inlineStr"/>
      <c r="K17" s="47" t="inlineStr">
        <is>
          <t>Configured at Vercel/deployment — not enforced in app</t>
        </is>
      </c>
      <c r="L17" s="6" t="n"/>
    </row>
    <row r="18" ht="32" customHeight="1">
      <c r="A18" s="6" t="n"/>
      <c r="B18" s="63" t="inlineStr">
        <is>
          <t>SEC-10</t>
        </is>
      </c>
      <c r="C18" s="56" t="inlineStr">
        <is>
          <t>Data Security</t>
        </is>
      </c>
      <c r="D18" s="49" t="inlineStr">
        <is>
          <t>API key rotation tracking</t>
        </is>
      </c>
      <c r="E18" s="55" t="inlineStr">
        <is>
          <t>Track all external API keys (Anthropic, Stripe, HMRC) with rotation schedule</t>
        </is>
      </c>
      <c r="F18" s="50" t="inlineStr">
        <is>
          <t>⬜ Not Started</t>
        </is>
      </c>
      <c r="G18" s="51" t="inlineStr">
        <is>
          <t>CFO</t>
        </is>
      </c>
      <c r="H18" s="51" t="inlineStr">
        <is>
          <t>May 2026</t>
        </is>
      </c>
      <c r="I18" s="52" t="inlineStr">
        <is>
          <t>Key rotation log</t>
        </is>
      </c>
      <c r="J18" s="53" t="inlineStr"/>
      <c r="K18" s="52" t="inlineStr"/>
      <c r="L18" s="6" t="n"/>
    </row>
    <row r="19" ht="32" customHeight="1">
      <c r="A19" s="6" t="n"/>
      <c r="B19" s="63" t="inlineStr">
        <is>
          <t>SEC-11</t>
        </is>
      </c>
      <c r="C19" s="56" t="inlineStr">
        <is>
          <t>Data Security</t>
        </is>
      </c>
      <c r="D19" s="44" t="inlineStr">
        <is>
          <t>Sensitive field encryption at rest</t>
        </is>
      </c>
      <c r="E19" s="55" t="inlineStr">
        <is>
          <t>NI numbers, bank details encrypted using sqlalchemy-utils EncryptedType</t>
        </is>
      </c>
      <c r="F19" s="45" t="inlineStr">
        <is>
          <t>⬜ Not Started</t>
        </is>
      </c>
      <c r="G19" s="46" t="inlineStr">
        <is>
          <t>Tech Lead</t>
        </is>
      </c>
      <c r="H19" s="46" t="inlineStr">
        <is>
          <t>Apr 2026</t>
        </is>
      </c>
      <c r="I19" s="47" t="inlineStr">
        <is>
          <t>Database inspection — fields not readable in plain text</t>
        </is>
      </c>
      <c r="J19" s="48" t="inlineStr"/>
      <c r="K19" s="47" t="inlineStr">
        <is>
          <t>UK GDPR Article 32</t>
        </is>
      </c>
      <c r="L19" s="6" t="n"/>
    </row>
    <row r="20" ht="32" customHeight="1">
      <c r="A20" s="6" t="n"/>
      <c r="B20" s="63" t="inlineStr">
        <is>
          <t>SEC-12</t>
        </is>
      </c>
      <c r="C20" s="57" t="inlineStr">
        <is>
          <t>Compliance Certification</t>
        </is>
      </c>
      <c r="D20" s="49" t="inlineStr">
        <is>
          <t>Cyber Essentials certification</t>
        </is>
      </c>
      <c r="E20" s="55" t="inlineStr">
        <is>
          <t>UK government-backed scheme — required by many grant funders</t>
        </is>
      </c>
      <c r="F20" s="50" t="inlineStr">
        <is>
          <t>⬜ Not Started</t>
        </is>
      </c>
      <c r="G20" s="51" t="inlineStr">
        <is>
          <t>CFO</t>
        </is>
      </c>
      <c r="H20" s="51" t="inlineStr">
        <is>
          <t>Jun 2026</t>
        </is>
      </c>
      <c r="I20" s="52" t="inlineStr">
        <is>
          <t>Cyber Essentials certificate</t>
        </is>
      </c>
      <c r="J20" s="53" t="inlineStr"/>
      <c r="K20" s="52" t="inlineStr">
        <is>
          <t>£300–500 for basic certification — increases fundability</t>
        </is>
      </c>
      <c r="L20" s="6" t="n"/>
    </row>
    <row r="21" ht="32" customHeight="1">
      <c r="A21" s="6" t="n"/>
      <c r="B21" s="63" t="inlineStr">
        <is>
          <t>SEC-13</t>
        </is>
      </c>
      <c r="C21" s="57" t="inlineStr">
        <is>
          <t>Compliance Certification</t>
        </is>
      </c>
      <c r="D21" s="44" t="inlineStr">
        <is>
          <t>Penetration test (annual)</t>
        </is>
      </c>
      <c r="E21" s="55" t="inlineStr">
        <is>
          <t>Professional pen test of the running application</t>
        </is>
      </c>
      <c r="F21" s="45" t="inlineStr">
        <is>
          <t>⬜ Not Started</t>
        </is>
      </c>
      <c r="G21" s="46" t="inlineStr">
        <is>
          <t>CFO</t>
        </is>
      </c>
      <c r="H21" s="46" t="inlineStr">
        <is>
          <t>Sep 2026</t>
        </is>
      </c>
      <c r="I21" s="47" t="inlineStr">
        <is>
          <t>Penetration test report</t>
        </is>
      </c>
      <c r="J21" s="48" t="inlineStr"/>
      <c r="K21" s="47" t="inlineStr">
        <is>
          <t>Best practice for financial software handling PII</t>
        </is>
      </c>
      <c r="L21" s="6" t="n"/>
    </row>
    <row r="22" ht="32" customHeight="1">
      <c r="A22" s="6" t="n"/>
      <c r="B22" s="63" t="inlineStr">
        <is>
          <t>SEC-14</t>
        </is>
      </c>
      <c r="C22" s="58" t="inlineStr">
        <is>
          <t>Business Continuity</t>
        </is>
      </c>
      <c r="D22" s="49" t="inlineStr">
        <is>
          <t>Backup and disaster recovery plan</t>
        </is>
      </c>
      <c r="E22" s="55" t="inlineStr">
        <is>
          <t>Documented backup schedule, Recovery Point Objective (RPO), Recovery Time Objective (RTO)</t>
        </is>
      </c>
      <c r="F22" s="50" t="inlineStr">
        <is>
          <t>⬜ Not Started</t>
        </is>
      </c>
      <c r="G22" s="51" t="inlineStr">
        <is>
          <t>Tech Lead</t>
        </is>
      </c>
      <c r="H22" s="51" t="inlineStr">
        <is>
          <t>May 2026</t>
        </is>
      </c>
      <c r="I22" s="52" t="inlineStr">
        <is>
          <t>DR test — restore from backup</t>
        </is>
      </c>
      <c r="J22" s="53" t="inlineStr"/>
      <c r="K22" s="52" t="inlineStr"/>
      <c r="L22" s="6" t="n"/>
    </row>
    <row r="23" ht="32" customHeight="1">
      <c r="A23" s="6" t="n"/>
      <c r="B23" s="63" t="inlineStr">
        <is>
          <t>SEC-15</t>
        </is>
      </c>
      <c r="C23" s="56" t="inlineStr">
        <is>
          <t>Data Security</t>
        </is>
      </c>
      <c r="D23" s="44" t="inlineStr">
        <is>
          <t>CORS configuration (production hardened)</t>
        </is>
      </c>
      <c r="E23" s="54" t="inlineStr">
        <is>
          <t>Restrict allowed origins to production domains only in non-development environments</t>
        </is>
      </c>
      <c r="F23" s="45" t="inlineStr">
        <is>
          <t>🔄 In Progress</t>
        </is>
      </c>
      <c r="G23" s="46" t="inlineStr">
        <is>
          <t>Tech Lead</t>
        </is>
      </c>
      <c r="H23" s="46" t="inlineStr">
        <is>
          <t>Apr 2026</t>
        </is>
      </c>
      <c r="I23" s="47" t="inlineStr">
        <is>
          <t>CORS header test in production</t>
        </is>
      </c>
      <c r="J23" s="48" t="inlineStr"/>
      <c r="K23" s="47" t="inlineStr">
        <is>
          <t>Currently allows *.vercel.app — tighten for production</t>
        </is>
      </c>
      <c r="L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</row>
  </sheetData>
  <mergeCells count="4">
    <mergeCell ref="B2:L2"/>
    <mergeCell ref="B4:F4"/>
    <mergeCell ref="G4:L4"/>
    <mergeCell ref="B3:L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00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7" customWidth="1" min="2" max="2"/>
    <col width="18" customWidth="1" min="3" max="3"/>
    <col width="32" customWidth="1" min="4" max="4"/>
    <col width="45" customWidth="1" min="5" max="5"/>
    <col width="16" customWidth="1" min="6" max="6"/>
    <col width="14" customWidth="1" min="7" max="7"/>
    <col width="12" customWidth="1" min="8" max="8"/>
    <col width="28" customWidth="1" min="9" max="9"/>
    <col width="14" customWidth="1" min="10" max="10"/>
    <col width="24" customWidth="1" min="11" max="11"/>
    <col width="2" customWidth="1" min="12" max="12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0" customHeight="1">
      <c r="A2" s="1" t="n"/>
      <c r="B2" s="33" t="inlineStr">
        <is>
          <t>GRANT MANAGEMENT  —  COMPLIANCE CHECKLIST</t>
        </is>
      </c>
    </row>
    <row r="3" ht="18" customHeight="1">
      <c r="A3" s="1" t="n"/>
      <c r="B3" s="34" t="inlineStr">
        <is>
          <t>Grant portfolio, allocations, spending tracker, report generation, funder templates, outcomes</t>
        </is>
      </c>
    </row>
    <row r="4" ht="16" customHeight="1">
      <c r="A4" s="1" t="n"/>
      <c r="B4" s="4">
        <f>IFERROR(F7,0)</f>
        <v/>
      </c>
      <c r="G4" s="5" t="inlineStr">
        <is>
          <t>Regulatory Basis: NLCF Grant Conditions · GMCA Grant Agreement · Rochdale Council SLA · Charities SORP</t>
        </is>
      </c>
    </row>
    <row r="5" ht="14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 ht="10" customHeight="1">
      <c r="A6" s="1" t="n"/>
      <c r="B6" s="35" t="inlineStr">
        <is>
          <t>Total Items</t>
        </is>
      </c>
      <c r="C6" s="35" t="inlineStr">
        <is>
          <t>✅ Complete</t>
        </is>
      </c>
      <c r="D6" s="35" t="inlineStr">
        <is>
          <t>🔄 In Progress</t>
        </is>
      </c>
      <c r="E6" s="35" t="inlineStr">
        <is>
          <t>⬜ Not Started</t>
        </is>
      </c>
      <c r="F6" s="35" t="inlineStr">
        <is>
          <t>% Complete</t>
        </is>
      </c>
      <c r="G6" s="1" t="n"/>
      <c r="H6" s="1" t="n"/>
      <c r="I6" s="1" t="n"/>
      <c r="J6" s="1" t="n"/>
      <c r="K6" s="1" t="n"/>
      <c r="L6" s="1" t="n"/>
    </row>
    <row r="7" ht="20" customHeight="1">
      <c r="A7" s="6" t="n"/>
      <c r="B7" s="36">
        <f>COUNTA(E8:E500)</f>
        <v/>
      </c>
      <c r="C7" s="37">
        <f>COUNTIF(E8:E500,"✅ Complete")</f>
        <v/>
      </c>
      <c r="D7" s="38">
        <f>COUNTIF(E8:E500,"🔄 In Progress")</f>
        <v/>
      </c>
      <c r="E7" s="39">
        <f>COUNTIF(E8:E500,"⬜ Not Started")</f>
        <v/>
      </c>
      <c r="F7" s="40">
        <f>IFERROR(C7/B7,0)</f>
        <v/>
      </c>
      <c r="G7" s="6" t="n"/>
      <c r="H7" s="6" t="n"/>
      <c r="I7" s="6" t="n"/>
      <c r="J7" s="6" t="n"/>
      <c r="K7" s="6" t="n"/>
      <c r="L7" s="6" t="n"/>
    </row>
    <row r="8" ht="20" customHeight="1">
      <c r="A8" s="6" t="n"/>
      <c r="B8" s="41" t="inlineStr">
        <is>
          <t>Ref</t>
        </is>
      </c>
      <c r="C8" s="41" t="inlineStr">
        <is>
          <t>Category</t>
        </is>
      </c>
      <c r="D8" s="41" t="inlineStr">
        <is>
          <t>Requirement</t>
        </is>
      </c>
      <c r="E8" s="41" t="inlineStr">
        <is>
          <t>Detail / What is Needed</t>
        </is>
      </c>
      <c r="F8" s="41" t="inlineStr">
        <is>
          <t>Status</t>
        </is>
      </c>
      <c r="G8" s="41" t="inlineStr">
        <is>
          <t>Owner</t>
        </is>
      </c>
      <c r="H8" s="41" t="inlineStr">
        <is>
          <t>Target Date</t>
        </is>
      </c>
      <c r="I8" s="41" t="inlineStr">
        <is>
          <t>Evidence Required</t>
        </is>
      </c>
      <c r="J8" s="41" t="inlineStr">
        <is>
          <t>Date Completed</t>
        </is>
      </c>
      <c r="K8" s="41" t="inlineStr">
        <is>
          <t>Notes</t>
        </is>
      </c>
      <c r="L8" s="6" t="n"/>
    </row>
    <row r="9" ht="32" customHeight="1">
      <c r="A9" s="6" t="n"/>
      <c r="B9" s="42" t="inlineStr">
        <is>
          <t>GR-01</t>
        </is>
      </c>
      <c r="C9" s="43" t="inlineStr">
        <is>
          <t>Grant Management</t>
        </is>
      </c>
      <c r="D9" s="44" t="inlineStr">
        <is>
          <t>Multi-grant portfolio management</t>
        </is>
      </c>
      <c r="E9" s="43" t="inlineStr">
        <is>
          <t>NLCF, GMCA, Rochdale SLA — separate records with status, funder, amounts</t>
        </is>
      </c>
      <c r="F9" s="45" t="inlineStr">
        <is>
          <t>✅ Complete</t>
        </is>
      </c>
      <c r="G9" s="46" t="inlineStr">
        <is>
          <t>CFO</t>
        </is>
      </c>
      <c r="H9" s="46" t="inlineStr">
        <is>
          <t>Live</t>
        </is>
      </c>
      <c r="I9" s="47" t="inlineStr">
        <is>
          <t>System demonstration</t>
        </is>
      </c>
      <c r="J9" s="48" t="inlineStr"/>
      <c r="K9" s="47" t="inlineStr"/>
      <c r="L9" s="6" t="n"/>
    </row>
    <row r="10" ht="32" customHeight="1">
      <c r="A10" s="6" t="n"/>
      <c r="B10" s="42" t="inlineStr">
        <is>
          <t>GR-02</t>
        </is>
      </c>
      <c r="C10" s="43" t="inlineStr">
        <is>
          <t>Grant Management</t>
        </is>
      </c>
      <c r="D10" s="49" t="inlineStr">
        <is>
          <t>Grant allocation per programme/activity</t>
        </is>
      </c>
      <c r="E10" s="43" t="inlineStr">
        <is>
          <t>GrantAllocation model — budget split across programmes</t>
        </is>
      </c>
      <c r="F10" s="50" t="inlineStr">
        <is>
          <t>✅ Complete</t>
        </is>
      </c>
      <c r="G10" s="51" t="inlineStr">
        <is>
          <t>Tech Lead</t>
        </is>
      </c>
      <c r="H10" s="51" t="inlineStr">
        <is>
          <t>Live</t>
        </is>
      </c>
      <c r="I10" s="52" t="inlineStr">
        <is>
          <t>Code review</t>
        </is>
      </c>
      <c r="J10" s="53" t="inlineStr"/>
      <c r="K10" s="52" t="inlineStr"/>
      <c r="L10" s="6" t="n"/>
    </row>
    <row r="11" ht="32" customHeight="1">
      <c r="A11" s="6" t="n"/>
      <c r="B11" s="42" t="inlineStr">
        <is>
          <t>GR-03</t>
        </is>
      </c>
      <c r="C11" s="43" t="inlineStr">
        <is>
          <t>Grant Management</t>
        </is>
      </c>
      <c r="D11" s="44" t="inlineStr">
        <is>
          <t>Real-time spending tracker</t>
        </is>
      </c>
      <c r="E11" s="43" t="inlineStr">
        <is>
          <t>GrantSpending updated on expense approval — amount_spent on Grant record</t>
        </is>
      </c>
      <c r="F11" s="45" t="inlineStr">
        <is>
          <t>✅ Complete</t>
        </is>
      </c>
      <c r="G11" s="46" t="inlineStr">
        <is>
          <t>Tech Lead</t>
        </is>
      </c>
      <c r="H11" s="46" t="inlineStr">
        <is>
          <t>Live</t>
        </is>
      </c>
      <c r="I11" s="47" t="inlineStr">
        <is>
          <t>Spending reconciliation test</t>
        </is>
      </c>
      <c r="J11" s="48" t="inlineStr"/>
      <c r="K11" s="47" t="inlineStr"/>
      <c r="L11" s="6" t="n"/>
    </row>
    <row r="12" ht="32" customHeight="1">
      <c r="A12" s="6" t="n"/>
      <c r="B12" s="42" t="inlineStr">
        <is>
          <t>GR-04</t>
        </is>
      </c>
      <c r="C12" s="54" t="inlineStr">
        <is>
          <t>Grant Reporting</t>
        </is>
      </c>
      <c r="D12" s="49" t="inlineStr">
        <is>
          <t>Report deadline alerts</t>
        </is>
      </c>
      <c r="E12" s="43" t="inlineStr">
        <is>
          <t>Celery task: alert CFO when grant report due within 14 days</t>
        </is>
      </c>
      <c r="F12" s="50" t="inlineStr">
        <is>
          <t>✅ Complete</t>
        </is>
      </c>
      <c r="G12" s="51" t="inlineStr">
        <is>
          <t>Tech Lead</t>
        </is>
      </c>
      <c r="H12" s="51" t="inlineStr">
        <is>
          <t>Live</t>
        </is>
      </c>
      <c r="I12" s="52" t="inlineStr">
        <is>
          <t>Alert email test</t>
        </is>
      </c>
      <c r="J12" s="53" t="inlineStr"/>
      <c r="K12" s="52" t="inlineStr"/>
      <c r="L12" s="6" t="n"/>
    </row>
    <row r="13" ht="32" customHeight="1">
      <c r="A13" s="6" t="n"/>
      <c r="B13" s="42" t="inlineStr">
        <is>
          <t>GR-05</t>
        </is>
      </c>
      <c r="C13" s="54" t="inlineStr">
        <is>
          <t>Grant Reporting</t>
        </is>
      </c>
      <c r="D13" s="44" t="inlineStr">
        <is>
          <t>AI-generated grant report narrative</t>
        </is>
      </c>
      <c r="E13" s="43" t="inlineStr">
        <is>
          <t>Claude API generates narrative report from spending data</t>
        </is>
      </c>
      <c r="F13" s="45" t="inlineStr">
        <is>
          <t>✅ Complete</t>
        </is>
      </c>
      <c r="G13" s="46" t="inlineStr">
        <is>
          <t>Tech Lead</t>
        </is>
      </c>
      <c r="H13" s="46" t="inlineStr">
        <is>
          <t>Live</t>
        </is>
      </c>
      <c r="I13" s="47" t="inlineStr">
        <is>
          <t>Sample report review</t>
        </is>
      </c>
      <c r="J13" s="48" t="inlineStr"/>
      <c r="K13" s="47" t="inlineStr"/>
      <c r="L13" s="6" t="n"/>
    </row>
    <row r="14" ht="32" customHeight="1">
      <c r="A14" s="6" t="n"/>
      <c r="B14" s="42" t="inlineStr">
        <is>
          <t>GR-06</t>
        </is>
      </c>
      <c r="C14" s="54" t="inlineStr">
        <is>
          <t>Grant Reporting</t>
        </is>
      </c>
      <c r="D14" s="49" t="inlineStr">
        <is>
          <t>Funder-specific report templates</t>
        </is>
      </c>
      <c r="E14" s="55" t="inlineStr">
        <is>
          <t>Templates matching NLCF, GMCA, Rochdale SLA reporting requirements</t>
        </is>
      </c>
      <c r="F14" s="50" t="inlineStr">
        <is>
          <t>⬜ Not Started</t>
        </is>
      </c>
      <c r="G14" s="51" t="inlineStr">
        <is>
          <t>CFO</t>
        </is>
      </c>
      <c r="H14" s="51" t="inlineStr">
        <is>
          <t>May 2026</t>
        </is>
      </c>
      <c r="I14" s="52" t="inlineStr">
        <is>
          <t>Funder acceptance of report format</t>
        </is>
      </c>
      <c r="J14" s="53" t="inlineStr"/>
      <c r="K14" s="52" t="inlineStr">
        <is>
          <t>Currently generic AI narrative — needs funder-specific structure</t>
        </is>
      </c>
      <c r="L14" s="6" t="n"/>
    </row>
    <row r="15" ht="32" customHeight="1">
      <c r="A15" s="6" t="n"/>
      <c r="B15" s="42" t="inlineStr">
        <is>
          <t>GR-07</t>
        </is>
      </c>
      <c r="C15" s="55" t="inlineStr">
        <is>
          <t>Grant Compliance</t>
        </is>
      </c>
      <c r="D15" s="44" t="inlineStr">
        <is>
          <t>Grant conditions tracking</t>
        </is>
      </c>
      <c r="E15" s="54" t="inlineStr">
        <is>
          <t>Conditions field per grant with compliance status</t>
        </is>
      </c>
      <c r="F15" s="45" t="inlineStr">
        <is>
          <t>🔄 In Progress</t>
        </is>
      </c>
      <c r="G15" s="46" t="inlineStr">
        <is>
          <t>CFO</t>
        </is>
      </c>
      <c r="H15" s="46" t="inlineStr">
        <is>
          <t>Apr 2026</t>
        </is>
      </c>
      <c r="I15" s="47" t="inlineStr">
        <is>
          <t>Conditions documented in system</t>
        </is>
      </c>
      <c r="J15" s="48" t="inlineStr"/>
      <c r="K15" s="47" t="inlineStr">
        <is>
          <t>Field exists — needs UI and workflow</t>
        </is>
      </c>
      <c r="L15" s="6" t="n"/>
    </row>
    <row r="16" ht="32" customHeight="1">
      <c r="A16" s="6" t="n"/>
      <c r="B16" s="42" t="inlineStr">
        <is>
          <t>GR-08</t>
        </is>
      </c>
      <c r="C16" s="55" t="inlineStr">
        <is>
          <t>Grant Compliance</t>
        </is>
      </c>
      <c r="D16" s="49" t="inlineStr">
        <is>
          <t>Restricted fund code enforcement</t>
        </is>
      </c>
      <c r="E16" s="55" t="inlineStr">
        <is>
          <t>Prevent charging ineligible expenses to a restricted grant</t>
        </is>
      </c>
      <c r="F16" s="50" t="inlineStr">
        <is>
          <t>⬜ Not Started</t>
        </is>
      </c>
      <c r="G16" s="51" t="inlineStr">
        <is>
          <t>Tech Lead</t>
        </is>
      </c>
      <c r="H16" s="51" t="inlineStr">
        <is>
          <t>May 2026</t>
        </is>
      </c>
      <c r="I16" s="52" t="inlineStr">
        <is>
          <t>Expense rejection test on wrong grant code</t>
        </is>
      </c>
      <c r="J16" s="53" t="inlineStr"/>
      <c r="K16" s="52" t="inlineStr">
        <is>
          <t>Requires fund accounting (FA-08) to be built first</t>
        </is>
      </c>
      <c r="L16" s="6" t="n"/>
    </row>
    <row r="17" ht="32" customHeight="1">
      <c r="A17" s="6" t="n"/>
      <c r="B17" s="42" t="inlineStr">
        <is>
          <t>GR-09</t>
        </is>
      </c>
      <c r="C17" s="56" t="inlineStr">
        <is>
          <t>Pipeline</t>
        </is>
      </c>
      <c r="D17" s="44" t="inlineStr">
        <is>
          <t>Grant pipeline management</t>
        </is>
      </c>
      <c r="E17" s="54" t="inlineStr">
        <is>
          <t>Prospect grants tracked with EOI status, application dates, decision dates</t>
        </is>
      </c>
      <c r="F17" s="45" t="inlineStr">
        <is>
          <t>🔄 In Progress</t>
        </is>
      </c>
      <c r="G17" s="46" t="inlineStr">
        <is>
          <t>CFO</t>
        </is>
      </c>
      <c r="H17" s="46" t="inlineStr">
        <is>
          <t>Apr 2026</t>
        </is>
      </c>
      <c r="I17" s="47" t="inlineStr">
        <is>
          <t>Pipeline data in system</t>
        </is>
      </c>
      <c r="J17" s="48" t="inlineStr"/>
      <c r="K17" s="47" t="inlineStr">
        <is>
          <t>Data exists statically — needs dynamic management</t>
        </is>
      </c>
      <c r="L17" s="6" t="n"/>
    </row>
    <row r="18" ht="32" customHeight="1">
      <c r="A18" s="6" t="n"/>
      <c r="B18" s="42" t="inlineStr">
        <is>
          <t>GR-10</t>
        </is>
      </c>
      <c r="C18" s="57" t="inlineStr">
        <is>
          <t>Outcomes</t>
        </is>
      </c>
      <c r="D18" s="49" t="inlineStr">
        <is>
          <t>Outcome and KPI tracking</t>
        </is>
      </c>
      <c r="E18" s="55" t="inlineStr">
        <is>
          <t>Link programme outcomes (participants, activities) to grant KPI requirements</t>
        </is>
      </c>
      <c r="F18" s="50" t="inlineStr">
        <is>
          <t>⬜ Not Started</t>
        </is>
      </c>
      <c r="G18" s="51" t="inlineStr">
        <is>
          <t>CFO</t>
        </is>
      </c>
      <c r="H18" s="51" t="inlineStr">
        <is>
          <t>May 2026</t>
        </is>
      </c>
      <c r="I18" s="52" t="inlineStr">
        <is>
          <t>Outcome data matching grant agreement</t>
        </is>
      </c>
      <c r="J18" s="53" t="inlineStr"/>
      <c r="K18" s="52" t="inlineStr">
        <is>
          <t>Required for NLCF and GMCA interim reports</t>
        </is>
      </c>
      <c r="L18" s="6" t="n"/>
    </row>
    <row r="19" ht="32" customHeight="1">
      <c r="A19" s="6" t="n"/>
      <c r="B19" s="42" t="inlineStr">
        <is>
          <t>GR-11</t>
        </is>
      </c>
      <c r="C19" s="58" t="inlineStr">
        <is>
          <t>Reporting</t>
        </is>
      </c>
      <c r="D19" s="44" t="inlineStr">
        <is>
          <t>Volunteer hours valuation</t>
        </is>
      </c>
      <c r="E19" s="43" t="inlineStr">
        <is>
          <t>1,240 hours × £15.60 NCVO rate = in-kind match contribution</t>
        </is>
      </c>
      <c r="F19" s="45" t="inlineStr">
        <is>
          <t>✅ Complete</t>
        </is>
      </c>
      <c r="G19" s="46" t="inlineStr">
        <is>
          <t>Tech Lead</t>
        </is>
      </c>
      <c r="H19" s="46" t="inlineStr">
        <is>
          <t>Live</t>
        </is>
      </c>
      <c r="I19" s="47" t="inlineStr">
        <is>
          <t>Volunteer value in reports</t>
        </is>
      </c>
      <c r="J19" s="48" t="inlineStr"/>
      <c r="K19" s="47" t="inlineStr"/>
      <c r="L19" s="6" t="n"/>
    </row>
    <row r="20" ht="32" customHeight="1">
      <c r="A20" s="6" t="n"/>
      <c r="B20" s="42" t="inlineStr">
        <is>
          <t>GR-12</t>
        </is>
      </c>
      <c r="C20" s="61" t="inlineStr">
        <is>
          <t>Compliance</t>
        </is>
      </c>
      <c r="D20" s="49" t="inlineStr">
        <is>
          <t>Cost per beneficiary reporting</t>
        </is>
      </c>
      <c r="E20" s="43" t="inlineStr">
        <is>
          <t>Spend / participants per programme — key funder metric</t>
        </is>
      </c>
      <c r="F20" s="50" t="inlineStr">
        <is>
          <t>✅ Complete</t>
        </is>
      </c>
      <c r="G20" s="51" t="inlineStr">
        <is>
          <t>Tech Lead</t>
        </is>
      </c>
      <c r="H20" s="51" t="inlineStr">
        <is>
          <t>Live</t>
        </is>
      </c>
      <c r="I20" s="52" t="inlineStr">
        <is>
          <t>Per-programme cost reports</t>
        </is>
      </c>
      <c r="J20" s="53" t="inlineStr"/>
      <c r="K20" s="52" t="inlineStr"/>
      <c r="L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</row>
  </sheetData>
  <mergeCells count="4">
    <mergeCell ref="B2:L2"/>
    <mergeCell ref="B4:F4"/>
    <mergeCell ref="G4:L4"/>
    <mergeCell ref="B3:L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00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7" customWidth="1" min="2" max="2"/>
    <col width="18" customWidth="1" min="3" max="3"/>
    <col width="32" customWidth="1" min="4" max="4"/>
    <col width="45" customWidth="1" min="5" max="5"/>
    <col width="16" customWidth="1" min="6" max="6"/>
    <col width="14" customWidth="1" min="7" max="7"/>
    <col width="12" customWidth="1" min="8" max="8"/>
    <col width="28" customWidth="1" min="9" max="9"/>
    <col width="14" customWidth="1" min="10" max="10"/>
    <col width="24" customWidth="1" min="11" max="11"/>
    <col width="2" customWidth="1" min="12" max="12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0" customHeight="1">
      <c r="A2" s="1" t="n"/>
      <c r="B2" s="62" t="inlineStr">
        <is>
          <t>DONATION MANAGEMENT  —  COMPLIANCE CHECKLIST</t>
        </is>
      </c>
    </row>
    <row r="3" ht="18" customHeight="1">
      <c r="A3" s="1" t="n"/>
      <c r="B3" s="34" t="inlineStr">
        <is>
          <t>Donor CRM, Gift Aid, Stripe/PayPal, recurring donations, GDPR consent, public donation page</t>
        </is>
      </c>
    </row>
    <row r="4" ht="16" customHeight="1">
      <c r="A4" s="1" t="n"/>
      <c r="B4" s="4">
        <f>IFERROR(F7,0)</f>
        <v/>
      </c>
      <c r="G4" s="5" t="inlineStr">
        <is>
          <t>Regulatory Basis: HMRC Gift Aid · UK GDPR · Payment Card Industry (PCI-DSS) · Fundraising Regulator Code</t>
        </is>
      </c>
    </row>
    <row r="5" ht="14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 ht="10" customHeight="1">
      <c r="A6" s="1" t="n"/>
      <c r="B6" s="35" t="inlineStr">
        <is>
          <t>Total Items</t>
        </is>
      </c>
      <c r="C6" s="35" t="inlineStr">
        <is>
          <t>✅ Complete</t>
        </is>
      </c>
      <c r="D6" s="35" t="inlineStr">
        <is>
          <t>🔄 In Progress</t>
        </is>
      </c>
      <c r="E6" s="35" t="inlineStr">
        <is>
          <t>⬜ Not Started</t>
        </is>
      </c>
      <c r="F6" s="35" t="inlineStr">
        <is>
          <t>% Complete</t>
        </is>
      </c>
      <c r="G6" s="1" t="n"/>
      <c r="H6" s="1" t="n"/>
      <c r="I6" s="1" t="n"/>
      <c r="J6" s="1" t="n"/>
      <c r="K6" s="1" t="n"/>
      <c r="L6" s="1" t="n"/>
    </row>
    <row r="7" ht="20" customHeight="1">
      <c r="A7" s="6" t="n"/>
      <c r="B7" s="36">
        <f>COUNTA(E8:E500)</f>
        <v/>
      </c>
      <c r="C7" s="37">
        <f>COUNTIF(E8:E500,"✅ Complete")</f>
        <v/>
      </c>
      <c r="D7" s="38">
        <f>COUNTIF(E8:E500,"🔄 In Progress")</f>
        <v/>
      </c>
      <c r="E7" s="39">
        <f>COUNTIF(E8:E500,"⬜ Not Started")</f>
        <v/>
      </c>
      <c r="F7" s="40">
        <f>IFERROR(C7/B7,0)</f>
        <v/>
      </c>
      <c r="G7" s="6" t="n"/>
      <c r="H7" s="6" t="n"/>
      <c r="I7" s="6" t="n"/>
      <c r="J7" s="6" t="n"/>
      <c r="K7" s="6" t="n"/>
      <c r="L7" s="6" t="n"/>
    </row>
    <row r="8" ht="20" customHeight="1">
      <c r="A8" s="6" t="n"/>
      <c r="B8" s="41" t="inlineStr">
        <is>
          <t>Ref</t>
        </is>
      </c>
      <c r="C8" s="41" t="inlineStr">
        <is>
          <t>Category</t>
        </is>
      </c>
      <c r="D8" s="41" t="inlineStr">
        <is>
          <t>Requirement</t>
        </is>
      </c>
      <c r="E8" s="41" t="inlineStr">
        <is>
          <t>Detail / What is Needed</t>
        </is>
      </c>
      <c r="F8" s="41" t="inlineStr">
        <is>
          <t>Status</t>
        </is>
      </c>
      <c r="G8" s="41" t="inlineStr">
        <is>
          <t>Owner</t>
        </is>
      </c>
      <c r="H8" s="41" t="inlineStr">
        <is>
          <t>Target Date</t>
        </is>
      </c>
      <c r="I8" s="41" t="inlineStr">
        <is>
          <t>Evidence Required</t>
        </is>
      </c>
      <c r="J8" s="41" t="inlineStr">
        <is>
          <t>Date Completed</t>
        </is>
      </c>
      <c r="K8" s="41" t="inlineStr">
        <is>
          <t>Notes</t>
        </is>
      </c>
      <c r="L8" s="6" t="n"/>
    </row>
    <row r="9" ht="32" customHeight="1">
      <c r="A9" s="6" t="n"/>
      <c r="B9" s="63" t="inlineStr">
        <is>
          <t>DON-01</t>
        </is>
      </c>
      <c r="C9" s="43" t="inlineStr">
        <is>
          <t>Donor Management</t>
        </is>
      </c>
      <c r="D9" s="44" t="inlineStr">
        <is>
          <t>Donor CRM with contact records</t>
        </is>
      </c>
      <c r="E9" s="43" t="inlineStr">
        <is>
          <t>Name, email, address, phone, source, anonymity flag</t>
        </is>
      </c>
      <c r="F9" s="45" t="inlineStr">
        <is>
          <t>✅ Complete</t>
        </is>
      </c>
      <c r="G9" s="46" t="inlineStr">
        <is>
          <t>Tech Lead</t>
        </is>
      </c>
      <c r="H9" s="46" t="inlineStr">
        <is>
          <t>Live</t>
        </is>
      </c>
      <c r="I9" s="47" t="inlineStr">
        <is>
          <t>Code review</t>
        </is>
      </c>
      <c r="J9" s="48" t="inlineStr"/>
      <c r="K9" s="47" t="inlineStr"/>
      <c r="L9" s="6" t="n"/>
    </row>
    <row r="10" ht="32" customHeight="1">
      <c r="A10" s="6" t="n"/>
      <c r="B10" s="63" t="inlineStr">
        <is>
          <t>DON-02</t>
        </is>
      </c>
      <c r="C10" s="54" t="inlineStr">
        <is>
          <t>Gift Aid</t>
        </is>
      </c>
      <c r="D10" s="49" t="inlineStr">
        <is>
          <t>Gift Aid eligibility tracking</t>
        </is>
      </c>
      <c r="E10" s="43" t="inlineStr">
        <is>
          <t>Boolean flag per donor</t>
        </is>
      </c>
      <c r="F10" s="50" t="inlineStr">
        <is>
          <t>✅ Complete</t>
        </is>
      </c>
      <c r="G10" s="51" t="inlineStr">
        <is>
          <t>Tech Lead</t>
        </is>
      </c>
      <c r="H10" s="51" t="inlineStr">
        <is>
          <t>Live</t>
        </is>
      </c>
      <c r="I10" s="52" t="inlineStr">
        <is>
          <t>Code review</t>
        </is>
      </c>
      <c r="J10" s="53" t="inlineStr"/>
      <c r="K10" s="52" t="inlineStr">
        <is>
          <t>Needs upgrading — see DON-03</t>
        </is>
      </c>
      <c r="L10" s="6" t="n"/>
    </row>
    <row r="11" ht="32" customHeight="1">
      <c r="A11" s="6" t="n"/>
      <c r="B11" s="63" t="inlineStr">
        <is>
          <t>DON-03</t>
        </is>
      </c>
      <c r="C11" s="54" t="inlineStr">
        <is>
          <t>Gift Aid</t>
        </is>
      </c>
      <c r="D11" s="44" t="inlineStr">
        <is>
          <t>Gift Aid declaration audit trail</t>
        </is>
      </c>
      <c r="E11" s="55" t="inlineStr">
        <is>
          <t>Declaration date, method, text version, withdrawal date — for HMRC audit</t>
        </is>
      </c>
      <c r="F11" s="45" t="inlineStr">
        <is>
          <t>⬜ Not Started</t>
        </is>
      </c>
      <c r="G11" s="46" t="inlineStr">
        <is>
          <t>Tech Lead</t>
        </is>
      </c>
      <c r="H11" s="46" t="inlineStr">
        <is>
          <t>Apr 2026</t>
        </is>
      </c>
      <c r="I11" s="47" t="inlineStr">
        <is>
          <t>HMRC Gift Aid audit readiness</t>
        </is>
      </c>
      <c r="J11" s="48" t="inlineStr"/>
      <c r="K11" s="47" t="inlineStr">
        <is>
          <t>Currently only boolean — HMRC requires full declaration evidence</t>
        </is>
      </c>
      <c r="L11" s="6" t="n"/>
    </row>
    <row r="12" ht="32" customHeight="1">
      <c r="A12" s="6" t="n"/>
      <c r="B12" s="63" t="inlineStr">
        <is>
          <t>DON-04</t>
        </is>
      </c>
      <c r="C12" s="54" t="inlineStr">
        <is>
          <t>Gift Aid</t>
        </is>
      </c>
      <c r="D12" s="49" t="inlineStr">
        <is>
          <t>Gift Aid R68 claim submission</t>
        </is>
      </c>
      <c r="E12" s="55" t="inlineStr">
        <is>
          <t>Online claim to HMRC ChAR — total donations, Gift Aid amount, charity reference</t>
        </is>
      </c>
      <c r="F12" s="50" t="inlineStr">
        <is>
          <t>⬜ Not Started</t>
        </is>
      </c>
      <c r="G12" s="51" t="inlineStr">
        <is>
          <t>CFO</t>
        </is>
      </c>
      <c r="H12" s="51" t="inlineStr">
        <is>
          <t>Apr 2026</t>
        </is>
      </c>
      <c r="I12" s="52" t="inlineStr">
        <is>
          <t>HMRC confirmation of claim</t>
        </is>
      </c>
      <c r="J12" s="53" t="inlineStr"/>
      <c r="K12" s="52" t="inlineStr">
        <is>
          <t>Manual via HMRC portal is acceptable — add tracking</t>
        </is>
      </c>
      <c r="L12" s="6" t="n"/>
    </row>
    <row r="13" ht="32" customHeight="1">
      <c r="A13" s="6" t="n"/>
      <c r="B13" s="63" t="inlineStr">
        <is>
          <t>DON-05</t>
        </is>
      </c>
      <c r="C13" s="55" t="inlineStr">
        <is>
          <t>Payments</t>
        </is>
      </c>
      <c r="D13" s="44" t="inlineStr">
        <is>
          <t>Stripe payment integration</t>
        </is>
      </c>
      <c r="E13" s="43" t="inlineStr">
        <is>
          <t>Payment intents, webhook processing for completed donations</t>
        </is>
      </c>
      <c r="F13" s="45" t="inlineStr">
        <is>
          <t>✅ Complete</t>
        </is>
      </c>
      <c r="G13" s="46" t="inlineStr">
        <is>
          <t>Tech Lead</t>
        </is>
      </c>
      <c r="H13" s="46" t="inlineStr">
        <is>
          <t>Live</t>
        </is>
      </c>
      <c r="I13" s="47" t="inlineStr">
        <is>
          <t>Live transaction test</t>
        </is>
      </c>
      <c r="J13" s="48" t="inlineStr"/>
      <c r="K13" s="47" t="inlineStr"/>
      <c r="L13" s="6" t="n"/>
    </row>
    <row r="14" ht="32" customHeight="1">
      <c r="A14" s="6" t="n"/>
      <c r="B14" s="63" t="inlineStr">
        <is>
          <t>DON-06</t>
        </is>
      </c>
      <c r="C14" s="55" t="inlineStr">
        <is>
          <t>Payments</t>
        </is>
      </c>
      <c r="D14" s="49" t="inlineStr">
        <is>
          <t>PayPal integration</t>
        </is>
      </c>
      <c r="E14" s="54" t="inlineStr">
        <is>
          <t>PayPal client setup in settings — model support exists</t>
        </is>
      </c>
      <c r="F14" s="50" t="inlineStr">
        <is>
          <t>🔄 In Progress</t>
        </is>
      </c>
      <c r="G14" s="51" t="inlineStr">
        <is>
          <t>Tech Lead</t>
        </is>
      </c>
      <c r="H14" s="51" t="inlineStr">
        <is>
          <t>Apr 2026</t>
        </is>
      </c>
      <c r="I14" s="52" t="inlineStr">
        <is>
          <t>Live PayPal test transaction</t>
        </is>
      </c>
      <c r="J14" s="53" t="inlineStr"/>
      <c r="K14" s="52" t="inlineStr">
        <is>
          <t>Code structure present — needs live PayPal credentials and test</t>
        </is>
      </c>
      <c r="L14" s="6" t="n"/>
    </row>
    <row r="15" ht="32" customHeight="1">
      <c r="A15" s="6" t="n"/>
      <c r="B15" s="63" t="inlineStr">
        <is>
          <t>DON-07</t>
        </is>
      </c>
      <c r="C15" s="55" t="inlineStr">
        <is>
          <t>Payments</t>
        </is>
      </c>
      <c r="D15" s="44" t="inlineStr">
        <is>
          <t>Recurring donation management</t>
        </is>
      </c>
      <c r="E15" s="43" t="inlineStr">
        <is>
          <t>Recurring donation model, frequency tracking, Stripe subscription link</t>
        </is>
      </c>
      <c r="F15" s="45" t="inlineStr">
        <is>
          <t>✅ Complete</t>
        </is>
      </c>
      <c r="G15" s="46" t="inlineStr">
        <is>
          <t>Tech Lead</t>
        </is>
      </c>
      <c r="H15" s="46" t="inlineStr">
        <is>
          <t>Live</t>
        </is>
      </c>
      <c r="I15" s="47" t="inlineStr">
        <is>
          <t>Recurring donation test</t>
        </is>
      </c>
      <c r="J15" s="48" t="inlineStr"/>
      <c r="K15" s="47" t="inlineStr"/>
      <c r="L15" s="6" t="n"/>
    </row>
    <row r="16" ht="32" customHeight="1">
      <c r="A16" s="6" t="n"/>
      <c r="B16" s="63" t="inlineStr">
        <is>
          <t>DON-08</t>
        </is>
      </c>
      <c r="C16" s="56" t="inlineStr">
        <is>
          <t>Compliance</t>
        </is>
      </c>
      <c r="D16" s="49" t="inlineStr">
        <is>
          <t>Donor GDPR consent management</t>
        </is>
      </c>
      <c r="E16" s="55" t="inlineStr">
        <is>
          <t>Marketing consent date, method, version — withdrawal mechanism</t>
        </is>
      </c>
      <c r="F16" s="50" t="inlineStr">
        <is>
          <t>⬜ Not Started</t>
        </is>
      </c>
      <c r="G16" s="51" t="inlineStr">
        <is>
          <t>Tech Lead</t>
        </is>
      </c>
      <c r="H16" s="51" t="inlineStr">
        <is>
          <t>Apr 2026</t>
        </is>
      </c>
      <c r="I16" s="52" t="inlineStr">
        <is>
          <t>Consent audit trail</t>
        </is>
      </c>
      <c r="J16" s="53" t="inlineStr"/>
      <c r="K16" s="52" t="inlineStr">
        <is>
          <t>See DP-02</t>
        </is>
      </c>
      <c r="L16" s="6" t="n"/>
    </row>
    <row r="17" ht="32" customHeight="1">
      <c r="A17" s="6" t="n"/>
      <c r="B17" s="63" t="inlineStr">
        <is>
          <t>DON-09</t>
        </is>
      </c>
      <c r="C17" s="56" t="inlineStr">
        <is>
          <t>Compliance</t>
        </is>
      </c>
      <c r="D17" s="44" t="inlineStr">
        <is>
          <t>Donation receipt emails</t>
        </is>
      </c>
      <c r="E17" s="43" t="inlineStr">
        <is>
          <t>Automated receipt email to donor on donation completion</t>
        </is>
      </c>
      <c r="F17" s="45" t="inlineStr">
        <is>
          <t>✅ Complete</t>
        </is>
      </c>
      <c r="G17" s="46" t="inlineStr">
        <is>
          <t>Tech Lead</t>
        </is>
      </c>
      <c r="H17" s="46" t="inlineStr">
        <is>
          <t>Live</t>
        </is>
      </c>
      <c r="I17" s="47" t="inlineStr">
        <is>
          <t>Receipt email test</t>
        </is>
      </c>
      <c r="J17" s="48" t="inlineStr"/>
      <c r="K17" s="47" t="inlineStr"/>
      <c r="L17" s="6" t="n"/>
    </row>
    <row r="18" ht="32" customHeight="1">
      <c r="A18" s="6" t="n"/>
      <c r="B18" s="63" t="inlineStr">
        <is>
          <t>DON-10</t>
        </is>
      </c>
      <c r="C18" s="57" t="inlineStr">
        <is>
          <t>Reporting</t>
        </is>
      </c>
      <c r="D18" s="49" t="inlineStr">
        <is>
          <t>Donation income by campaign</t>
        </is>
      </c>
      <c r="E18" s="43" t="inlineStr">
        <is>
          <t>Breakdown of donations per campaign for grant match reporting</t>
        </is>
      </c>
      <c r="F18" s="50" t="inlineStr">
        <is>
          <t>✅ Complete</t>
        </is>
      </c>
      <c r="G18" s="51" t="inlineStr">
        <is>
          <t>Tech Lead</t>
        </is>
      </c>
      <c r="H18" s="51" t="inlineStr">
        <is>
          <t>Live</t>
        </is>
      </c>
      <c r="I18" s="52" t="inlineStr">
        <is>
          <t>Campaign report test</t>
        </is>
      </c>
      <c r="J18" s="53" t="inlineStr"/>
      <c r="K18" s="52" t="inlineStr"/>
      <c r="L18" s="6" t="n"/>
    </row>
    <row r="19" ht="32" customHeight="1">
      <c r="A19" s="6" t="n"/>
      <c r="B19" s="63" t="inlineStr">
        <is>
          <t>DON-11</t>
        </is>
      </c>
      <c r="C19" s="57" t="inlineStr">
        <is>
          <t>Reporting</t>
        </is>
      </c>
      <c r="D19" s="44" t="inlineStr">
        <is>
          <t>Year-on-year donation trend</t>
        </is>
      </c>
      <c r="E19" s="54" t="inlineStr">
        <is>
          <t>YoY comparison for trustee and Charity Commission reporting</t>
        </is>
      </c>
      <c r="F19" s="45" t="inlineStr">
        <is>
          <t>🔄 In Progress</t>
        </is>
      </c>
      <c r="G19" s="46" t="inlineStr">
        <is>
          <t>Tech Lead</t>
        </is>
      </c>
      <c r="H19" s="46" t="inlineStr">
        <is>
          <t>Apr 2026</t>
        </is>
      </c>
      <c r="I19" s="47" t="inlineStr">
        <is>
          <t>Report accuracy test</t>
        </is>
      </c>
      <c r="J19" s="48" t="inlineStr"/>
      <c r="K19" s="47" t="inlineStr">
        <is>
          <t>Dashboard shows trend — formal year-comparison report needed</t>
        </is>
      </c>
      <c r="L19" s="6" t="n"/>
    </row>
    <row r="20" ht="32" customHeight="1">
      <c r="A20" s="6" t="n"/>
      <c r="B20" s="63" t="inlineStr">
        <is>
          <t>DON-12</t>
        </is>
      </c>
      <c r="C20" s="58" t="inlineStr">
        <is>
          <t>Fundraising</t>
        </is>
      </c>
      <c r="D20" s="49" t="inlineStr">
        <is>
          <t>Online donation page / embed</t>
        </is>
      </c>
      <c r="E20" s="55" t="inlineStr">
        <is>
          <t>Public-facing donation page or embeddable widget</t>
        </is>
      </c>
      <c r="F20" s="50" t="inlineStr">
        <is>
          <t>⬜ Not Started</t>
        </is>
      </c>
      <c r="G20" s="51" t="inlineStr">
        <is>
          <t>Tech Lead</t>
        </is>
      </c>
      <c r="H20" s="51" t="inlineStr">
        <is>
          <t>May 2026</t>
        </is>
      </c>
      <c r="I20" s="52" t="inlineStr">
        <is>
          <t>Live donation page test</t>
        </is>
      </c>
      <c r="J20" s="53" t="inlineStr"/>
      <c r="K20" s="52" t="inlineStr">
        <is>
          <t>Currently backend only — no public-facing donation UI</t>
        </is>
      </c>
      <c r="L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</row>
  </sheetData>
  <mergeCells count="4">
    <mergeCell ref="B2:L2"/>
    <mergeCell ref="B4:F4"/>
    <mergeCell ref="G4:L4"/>
    <mergeCell ref="B3:L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00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7" customWidth="1" min="2" max="2"/>
    <col width="18" customWidth="1" min="3" max="3"/>
    <col width="32" customWidth="1" min="4" max="4"/>
    <col width="45" customWidth="1" min="5" max="5"/>
    <col width="16" customWidth="1" min="6" max="6"/>
    <col width="14" customWidth="1" min="7" max="7"/>
    <col width="12" customWidth="1" min="8" max="8"/>
    <col width="28" customWidth="1" min="9" max="9"/>
    <col width="14" customWidth="1" min="10" max="10"/>
    <col width="24" customWidth="1" min="11" max="11"/>
    <col width="2" customWidth="1" min="12" max="12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0" customHeight="1">
      <c r="A2" s="1" t="n"/>
      <c r="B2" s="64" t="inlineStr">
        <is>
          <t>UKVI SPONSORSHIP LICENCE  —  COMPLIANCE CHECKLIST</t>
        </is>
      </c>
    </row>
    <row r="3" ht="18" customHeight="1">
      <c r="A3" s="1" t="n"/>
      <c r="B3" s="34" t="inlineStr">
        <is>
          <t>Sponsor licence management, CoS tracking, absence monitoring, 10 reporting duties, audit pack</t>
        </is>
      </c>
    </row>
    <row r="4" ht="16" customHeight="1">
      <c r="A4" s="1" t="n"/>
      <c r="B4" s="4">
        <f>IFERROR(F7,0)</f>
        <v/>
      </c>
      <c r="G4" s="5" t="inlineStr">
        <is>
          <t>Regulatory Basis: UK Visas &amp; Immigration Sponsor Guidance (Dec 2023) · Immigration Act 2014 · Immigration Rules</t>
        </is>
      </c>
    </row>
    <row r="5" ht="14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 ht="10" customHeight="1">
      <c r="A6" s="1" t="n"/>
      <c r="B6" s="35" t="inlineStr">
        <is>
          <t>Total Items</t>
        </is>
      </c>
      <c r="C6" s="35" t="inlineStr">
        <is>
          <t>✅ Complete</t>
        </is>
      </c>
      <c r="D6" s="35" t="inlineStr">
        <is>
          <t>🔄 In Progress</t>
        </is>
      </c>
      <c r="E6" s="35" t="inlineStr">
        <is>
          <t>⬜ Not Started</t>
        </is>
      </c>
      <c r="F6" s="35" t="inlineStr">
        <is>
          <t>% Complete</t>
        </is>
      </c>
      <c r="G6" s="1" t="n"/>
      <c r="H6" s="1" t="n"/>
      <c r="I6" s="1" t="n"/>
      <c r="J6" s="1" t="n"/>
      <c r="K6" s="1" t="n"/>
      <c r="L6" s="1" t="n"/>
    </row>
    <row r="7" ht="20" customHeight="1">
      <c r="A7" s="6" t="n"/>
      <c r="B7" s="36">
        <f>COUNTA(E8:E500)</f>
        <v/>
      </c>
      <c r="C7" s="37">
        <f>COUNTIF(E8:E500,"✅ Complete")</f>
        <v/>
      </c>
      <c r="D7" s="38">
        <f>COUNTIF(E8:E500,"🔄 In Progress")</f>
        <v/>
      </c>
      <c r="E7" s="39">
        <f>COUNTIF(E8:E500,"⬜ Not Started")</f>
        <v/>
      </c>
      <c r="F7" s="40">
        <f>IFERROR(C7/B7,0)</f>
        <v/>
      </c>
      <c r="G7" s="6" t="n"/>
      <c r="H7" s="6" t="n"/>
      <c r="I7" s="6" t="n"/>
      <c r="J7" s="6" t="n"/>
      <c r="K7" s="6" t="n"/>
      <c r="L7" s="6" t="n"/>
    </row>
    <row r="8" ht="20" customHeight="1">
      <c r="A8" s="6" t="n"/>
      <c r="B8" s="41" t="inlineStr">
        <is>
          <t>Ref</t>
        </is>
      </c>
      <c r="C8" s="41" t="inlineStr">
        <is>
          <t>Category</t>
        </is>
      </c>
      <c r="D8" s="41" t="inlineStr">
        <is>
          <t>Requirement</t>
        </is>
      </c>
      <c r="E8" s="41" t="inlineStr">
        <is>
          <t>Detail / What is Needed</t>
        </is>
      </c>
      <c r="F8" s="41" t="inlineStr">
        <is>
          <t>Status</t>
        </is>
      </c>
      <c r="G8" s="41" t="inlineStr">
        <is>
          <t>Owner</t>
        </is>
      </c>
      <c r="H8" s="41" t="inlineStr">
        <is>
          <t>Target Date</t>
        </is>
      </c>
      <c r="I8" s="41" t="inlineStr">
        <is>
          <t>Evidence Required</t>
        </is>
      </c>
      <c r="J8" s="41" t="inlineStr">
        <is>
          <t>Date Completed</t>
        </is>
      </c>
      <c r="K8" s="41" t="inlineStr">
        <is>
          <t>Notes</t>
        </is>
      </c>
      <c r="L8" s="6" t="n"/>
    </row>
    <row r="9" ht="32" customHeight="1">
      <c r="A9" s="6" t="n"/>
      <c r="B9" s="65" t="inlineStr">
        <is>
          <t>UK-01</t>
        </is>
      </c>
      <c r="C9" s="43" t="inlineStr">
        <is>
          <t>Licence Management</t>
        </is>
      </c>
      <c r="D9" s="44" t="inlineStr">
        <is>
          <t>Sponsorship licence status tracking</t>
        </is>
      </c>
      <c r="E9" s="55" t="inlineStr">
        <is>
          <t>Licence type (A-rated/B-rated), expiry date, licence number, renewal dates</t>
        </is>
      </c>
      <c r="F9" s="45" t="inlineStr">
        <is>
          <t>⬜ Not Started</t>
        </is>
      </c>
      <c r="G9" s="46" t="inlineStr">
        <is>
          <t>HR Manager</t>
        </is>
      </c>
      <c r="H9" s="46" t="inlineStr">
        <is>
          <t>Jun 2026</t>
        </is>
      </c>
      <c r="I9" s="47" t="inlineStr">
        <is>
          <t>Home Office licence confirmation letter</t>
        </is>
      </c>
      <c r="J9" s="48" t="inlineStr"/>
      <c r="K9" s="47" t="inlineStr">
        <is>
          <t>Only required if organisation currently holds or plans to apply for licence</t>
        </is>
      </c>
      <c r="L9" s="6" t="n"/>
    </row>
    <row r="10" ht="32" customHeight="1">
      <c r="A10" s="6" t="n"/>
      <c r="B10" s="65" t="inlineStr">
        <is>
          <t>UK-02</t>
        </is>
      </c>
      <c r="C10" s="54" t="inlineStr">
        <is>
          <t>Worker Records</t>
        </is>
      </c>
      <c r="D10" s="49" t="inlineStr">
        <is>
          <t>Sponsored worker record (CoS)</t>
        </is>
      </c>
      <c r="E10" s="55" t="inlineStr">
        <is>
          <t>Certificate of Sponsorship number, assigned worker, occupation code, salary, visa type, expiry</t>
        </is>
      </c>
      <c r="F10" s="50" t="inlineStr">
        <is>
          <t>⬜ Not Started</t>
        </is>
      </c>
      <c r="G10" s="51" t="inlineStr">
        <is>
          <t>HR Manager</t>
        </is>
      </c>
      <c r="H10" s="51" t="inlineStr">
        <is>
          <t>Jun 2026</t>
        </is>
      </c>
      <c r="I10" s="52" t="inlineStr">
        <is>
          <t>CoS assignment confirmation</t>
        </is>
      </c>
      <c r="J10" s="53" t="inlineStr"/>
      <c r="K10" s="52" t="inlineStr"/>
      <c r="L10" s="6" t="n"/>
    </row>
    <row r="11" ht="32" customHeight="1">
      <c r="A11" s="6" t="n"/>
      <c r="B11" s="65" t="inlineStr">
        <is>
          <t>UK-03</t>
        </is>
      </c>
      <c r="C11" s="54" t="inlineStr">
        <is>
          <t>Worker Records</t>
        </is>
      </c>
      <c r="D11" s="44" t="inlineStr">
        <is>
          <t>Right to Work check (pre-employment)</t>
        </is>
      </c>
      <c r="E11" s="55" t="inlineStr">
        <is>
          <t>Document type, number, expiry, check date, recheck date — per sponsored worker</t>
        </is>
      </c>
      <c r="F11" s="45" t="inlineStr">
        <is>
          <t>⬜ Not Started</t>
        </is>
      </c>
      <c r="G11" s="46" t="inlineStr">
        <is>
          <t>HR Manager</t>
        </is>
      </c>
      <c r="H11" s="46" t="inlineStr">
        <is>
          <t>URGENT</t>
        </is>
      </c>
      <c r="I11" s="47" t="inlineStr">
        <is>
          <t>RTW document copies + check log</t>
        </is>
      </c>
      <c r="J11" s="48" t="inlineStr"/>
      <c r="K11" s="47" t="inlineStr">
        <is>
          <t>See also HR-01 — applies to all workers not just sponsored</t>
        </is>
      </c>
      <c r="L11" s="6" t="n"/>
    </row>
    <row r="12" ht="32" customHeight="1">
      <c r="A12" s="6" t="n"/>
      <c r="B12" s="65" t="inlineStr">
        <is>
          <t>UK-04</t>
        </is>
      </c>
      <c r="C12" s="54" t="inlineStr">
        <is>
          <t>Worker Records</t>
        </is>
      </c>
      <c r="D12" s="49" t="inlineStr">
        <is>
          <t>Visa expiry alerts</t>
        </is>
      </c>
      <c r="E12" s="55" t="inlineStr">
        <is>
          <t>Alert 90, 60, 30 days before visa expiry to HR Manager and CFO</t>
        </is>
      </c>
      <c r="F12" s="50" t="inlineStr">
        <is>
          <t>⬜ Not Started</t>
        </is>
      </c>
      <c r="G12" s="51" t="inlineStr">
        <is>
          <t>Tech Lead</t>
        </is>
      </c>
      <c r="H12" s="51" t="inlineStr">
        <is>
          <t>Jun 2026</t>
        </is>
      </c>
      <c r="I12" s="52" t="inlineStr">
        <is>
          <t>Alert delivery test</t>
        </is>
      </c>
      <c r="J12" s="53" t="inlineStr"/>
      <c r="K12" s="52" t="inlineStr"/>
      <c r="L12" s="6" t="n"/>
    </row>
    <row r="13" ht="32" customHeight="1">
      <c r="A13" s="6" t="n"/>
      <c r="B13" s="65" t="inlineStr">
        <is>
          <t>UK-05</t>
        </is>
      </c>
      <c r="C13" s="55" t="inlineStr">
        <is>
          <t>Reporting Duties</t>
        </is>
      </c>
      <c r="D13" s="44" t="inlineStr">
        <is>
          <t>Absence monitoring (10+ consecutive days)</t>
        </is>
      </c>
      <c r="E13" s="55" t="inlineStr">
        <is>
          <t>Flag any sponsored worker absent for 10+ consecutive working days — report to UKVI within 10 working days</t>
        </is>
      </c>
      <c r="F13" s="45" t="inlineStr">
        <is>
          <t>⬜ Not Started</t>
        </is>
      </c>
      <c r="G13" s="46" t="inlineStr">
        <is>
          <t>HR Manager</t>
        </is>
      </c>
      <c r="H13" s="46" t="inlineStr">
        <is>
          <t>Jun 2026</t>
        </is>
      </c>
      <c r="I13" s="47" t="inlineStr">
        <is>
          <t>Absence flagging test</t>
        </is>
      </c>
      <c r="J13" s="48" t="inlineStr"/>
      <c r="K13" s="47" t="inlineStr">
        <is>
          <t>10 UKVI reporting duties must be understood and implemented</t>
        </is>
      </c>
      <c r="L13" s="6" t="n"/>
    </row>
    <row r="14" ht="32" customHeight="1">
      <c r="A14" s="6" t="n"/>
      <c r="B14" s="65" t="inlineStr">
        <is>
          <t>UK-06</t>
        </is>
      </c>
      <c r="C14" s="55" t="inlineStr">
        <is>
          <t>Reporting Duties</t>
        </is>
      </c>
      <c r="D14" s="49" t="inlineStr">
        <is>
          <t>Role/salary change reporting</t>
        </is>
      </c>
      <c r="E14" s="55" t="inlineStr">
        <is>
          <t>Log any change to sponsored worker's job title, location, or salary — reportable within 10 working days</t>
        </is>
      </c>
      <c r="F14" s="50" t="inlineStr">
        <is>
          <t>⬜ Not Started</t>
        </is>
      </c>
      <c r="G14" s="51" t="inlineStr">
        <is>
          <t>HR Manager</t>
        </is>
      </c>
      <c r="H14" s="51" t="inlineStr">
        <is>
          <t>Jun 2026</t>
        </is>
      </c>
      <c r="I14" s="52" t="inlineStr">
        <is>
          <t>Change notification test</t>
        </is>
      </c>
      <c r="J14" s="53" t="inlineStr"/>
      <c r="K14" s="52" t="inlineStr"/>
      <c r="L14" s="6" t="n"/>
    </row>
    <row r="15" ht="32" customHeight="1">
      <c r="A15" s="6" t="n"/>
      <c r="B15" s="65" t="inlineStr">
        <is>
          <t>UK-07</t>
        </is>
      </c>
      <c r="C15" s="55" t="inlineStr">
        <is>
          <t>Reporting Duties</t>
        </is>
      </c>
      <c r="D15" s="44" t="inlineStr">
        <is>
          <t>Sponsored worker left employment reporting</t>
        </is>
      </c>
      <c r="E15" s="55" t="inlineStr">
        <is>
          <t>Log leaving date and reason — report to UKVI within 10 working days</t>
        </is>
      </c>
      <c r="F15" s="45" t="inlineStr">
        <is>
          <t>⬜ Not Started</t>
        </is>
      </c>
      <c r="G15" s="46" t="inlineStr">
        <is>
          <t>HR Manager</t>
        </is>
      </c>
      <c r="H15" s="46" t="inlineStr">
        <is>
          <t>Jun 2026</t>
        </is>
      </c>
      <c r="I15" s="47" t="inlineStr">
        <is>
          <t>Leaving notification test</t>
        </is>
      </c>
      <c r="J15" s="48" t="inlineStr"/>
      <c r="K15" s="47" t="inlineStr"/>
      <c r="L15" s="6" t="n"/>
    </row>
    <row r="16" ht="32" customHeight="1">
      <c r="A16" s="6" t="n"/>
      <c r="B16" s="65" t="inlineStr">
        <is>
          <t>UK-08</t>
        </is>
      </c>
      <c r="C16" s="56" t="inlineStr">
        <is>
          <t>Salary Compliance</t>
        </is>
      </c>
      <c r="D16" s="49" t="inlineStr">
        <is>
          <t>Going rate validation for occupation code</t>
        </is>
      </c>
      <c r="E16" s="55" t="inlineStr">
        <is>
          <t>Validate sponsored worker salary &gt;= going rate for their SOC occupation code</t>
        </is>
      </c>
      <c r="F16" s="50" t="inlineStr">
        <is>
          <t>⬜ Not Started</t>
        </is>
      </c>
      <c r="G16" s="51" t="inlineStr">
        <is>
          <t>HR Manager</t>
        </is>
      </c>
      <c r="H16" s="51" t="inlineStr">
        <is>
          <t>Jun 2026</t>
        </is>
      </c>
      <c r="I16" s="52" t="inlineStr">
        <is>
          <t>Going rate check per worker</t>
        </is>
      </c>
      <c r="J16" s="53" t="inlineStr"/>
      <c r="K16" s="52" t="inlineStr">
        <is>
          <t>Skilled Worker minimum salary £38,700 or going rate — whichever is higher</t>
        </is>
      </c>
      <c r="L16" s="6" t="n"/>
    </row>
    <row r="17" ht="32" customHeight="1">
      <c r="A17" s="6" t="n"/>
      <c r="B17" s="65" t="inlineStr">
        <is>
          <t>UK-09</t>
        </is>
      </c>
      <c r="C17" s="57" t="inlineStr">
        <is>
          <t>Audit Readiness</t>
        </is>
      </c>
      <c r="D17" s="44" t="inlineStr">
        <is>
          <t>Home Office audit pack generator</t>
        </is>
      </c>
      <c r="E17" s="55" t="inlineStr">
        <is>
          <t>On-demand export of all required sponsor documents for a UKVI compliance visit</t>
        </is>
      </c>
      <c r="F17" s="45" t="inlineStr">
        <is>
          <t>⬜ Not Started</t>
        </is>
      </c>
      <c r="G17" s="46" t="inlineStr">
        <is>
          <t>Tech Lead</t>
        </is>
      </c>
      <c r="H17" s="46" t="inlineStr">
        <is>
          <t>Jul 2026</t>
        </is>
      </c>
      <c r="I17" s="47" t="inlineStr">
        <is>
          <t>Simulated audit pack completeness test</t>
        </is>
      </c>
      <c r="J17" s="48" t="inlineStr"/>
      <c r="K17" s="47" t="inlineStr">
        <is>
          <t>UKVI can visit with 48 hours notice</t>
        </is>
      </c>
      <c r="L17" s="6" t="n"/>
    </row>
    <row r="18" ht="32" customHeight="1">
      <c r="A18" s="6" t="n"/>
      <c r="B18" s="65" t="inlineStr">
        <is>
          <t>UK-10</t>
        </is>
      </c>
      <c r="C18" s="58" t="inlineStr">
        <is>
          <t>Record Keeping</t>
        </is>
      </c>
      <c r="D18" s="49" t="inlineStr">
        <is>
          <t>Sponsor record-keeping for 5 years</t>
        </is>
      </c>
      <c r="E18" s="55" t="inlineStr">
        <is>
          <t>All HR records, right to work checks, CoS details retained for 5 years</t>
        </is>
      </c>
      <c r="F18" s="50" t="inlineStr">
        <is>
          <t>⬜ Not Started</t>
        </is>
      </c>
      <c r="G18" s="51" t="inlineStr">
        <is>
          <t>HR Manager</t>
        </is>
      </c>
      <c r="H18" s="51" t="inlineStr">
        <is>
          <t>Jun 2026</t>
        </is>
      </c>
      <c r="I18" s="52" t="inlineStr">
        <is>
          <t>Retention policy covers sponsored worker files</t>
        </is>
      </c>
      <c r="J18" s="53" t="inlineStr"/>
      <c r="K18" s="52" t="inlineStr">
        <is>
          <t>UKVI requirement — overlaps with data retention policy</t>
        </is>
      </c>
      <c r="L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</row>
  </sheetData>
  <mergeCells count="4">
    <mergeCell ref="B2:L2"/>
    <mergeCell ref="B4:F4"/>
    <mergeCell ref="G4:L4"/>
    <mergeCell ref="B3:L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0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22" customWidth="1" min="3" max="3"/>
    <col width="40" customWidth="1" min="4" max="4"/>
    <col width="14" customWidth="1" min="5" max="5"/>
    <col width="12" customWidth="1" min="6" max="6"/>
    <col width="26" customWidth="1" min="7" max="7"/>
    <col width="16" customWidth="1" min="8" max="8"/>
    <col width="3" customWidth="1" min="13" max="13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0" customHeight="1">
      <c r="A2" s="1" t="n"/>
      <c r="B2" s="33" t="inlineStr">
        <is>
          <t>IMPLEMENTATION ROADMAP — COMPLIANCE DEVELOPMENT PLAN</t>
        </is>
      </c>
      <c r="N2" s="1" t="n"/>
    </row>
    <row r="3" ht="16" customHeight="1">
      <c r="A3" s="1" t="n"/>
      <c r="B3" s="66" t="inlineStr">
        <is>
          <t>Prioritised development plan to achieve full compliance across all regulatory domains</t>
        </is>
      </c>
      <c r="N3" s="1" t="n"/>
    </row>
    <row r="4" ht="14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</row>
    <row r="7" ht="6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</row>
    <row r="8" ht="18" customHeight="1">
      <c r="A8" s="6" t="n"/>
      <c r="B8" s="67" t="inlineStr">
        <is>
          <t>PHASE 1 — IMMEDIATE (Weeks 1–2) — Legal Liability Mitigation</t>
        </is>
      </c>
      <c r="N8" s="6" t="n"/>
    </row>
    <row r="9" ht="6" customHeight="1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</row>
    <row r="10" ht="16" customHeight="1">
      <c r="A10" s="6" t="n"/>
      <c r="B10" s="68" t="inlineStr">
        <is>
          <t>Ref</t>
        </is>
      </c>
      <c r="C10" s="68" t="inlineStr">
        <is>
          <t>Item</t>
        </is>
      </c>
      <c r="D10" s="68" t="inlineStr">
        <is>
          <t>What to Build</t>
        </is>
      </c>
      <c r="E10" s="68" t="inlineStr">
        <is>
          <t>Owner</t>
        </is>
      </c>
      <c r="F10" s="68" t="inlineStr">
        <is>
          <t>Target</t>
        </is>
      </c>
      <c r="G10" s="68" t="inlineStr">
        <is>
          <t>Notes</t>
        </is>
      </c>
      <c r="H10" s="68" t="inlineStr">
        <is>
          <t>Status</t>
        </is>
      </c>
      <c r="I10" s="6" t="n"/>
      <c r="J10" s="6" t="n"/>
      <c r="K10" s="6" t="n"/>
      <c r="L10" s="6" t="n"/>
      <c r="M10" s="6" t="n"/>
      <c r="N10" s="6" t="n"/>
    </row>
    <row r="11" ht="22" customHeight="1">
      <c r="A11" s="6" t="n"/>
      <c r="B11" s="69" t="inlineStr">
        <is>
          <t>PR-08</t>
        </is>
      </c>
      <c r="C11" s="70" t="inlineStr">
        <is>
          <t>NMW Validation</t>
        </is>
      </c>
      <c r="D11" s="71" t="inlineStr">
        <is>
          <t>payroll_calculator.py — validate gross/hours &gt;= NMW before run confirms</t>
        </is>
      </c>
      <c r="E11" s="71" t="inlineStr">
        <is>
          <t>Tech Lead</t>
        </is>
      </c>
      <c r="F11" s="69" t="inlineStr">
        <is>
          <t>Week 1</t>
        </is>
      </c>
      <c r="G11" s="69" t="inlineStr">
        <is>
          <t>CRIMINAL LIABILITY — top priority</t>
        </is>
      </c>
      <c r="H11" s="69" t="inlineStr">
        <is>
          <t>⬜ Not Started</t>
        </is>
      </c>
      <c r="I11" s="6" t="n"/>
      <c r="J11" s="6" t="n"/>
      <c r="K11" s="6" t="n"/>
      <c r="L11" s="6" t="n"/>
      <c r="M11" s="6" t="n"/>
      <c r="N11" s="6" t="n"/>
    </row>
    <row r="12" ht="22" customHeight="1">
      <c r="A12" s="6" t="n"/>
      <c r="B12" s="72" t="inlineStr">
        <is>
          <t>HR-01</t>
        </is>
      </c>
      <c r="C12" s="73" t="inlineStr">
        <is>
          <t>Right to Work Records</t>
        </is>
      </c>
      <c r="D12" s="74" t="inlineStr">
        <is>
          <t>Add RTW fields to Employee model + Alembic migration</t>
        </is>
      </c>
      <c r="E12" s="74" t="inlineStr">
        <is>
          <t>Tech Lead</t>
        </is>
      </c>
      <c r="F12" s="72" t="inlineStr">
        <is>
          <t>Week 1</t>
        </is>
      </c>
      <c r="G12" s="72" t="inlineStr">
        <is>
          <t>Criminal liability — illegal working</t>
        </is>
      </c>
      <c r="H12" s="72" t="inlineStr">
        <is>
          <t>⬜ Not Started</t>
        </is>
      </c>
      <c r="I12" s="6" t="n"/>
      <c r="J12" s="6" t="n"/>
      <c r="K12" s="6" t="n"/>
      <c r="L12" s="6" t="n"/>
      <c r="M12" s="6" t="n"/>
      <c r="N12" s="6" t="n"/>
    </row>
    <row r="13" ht="22" customHeight="1">
      <c r="A13" s="6" t="n"/>
      <c r="B13" s="69" t="inlineStr">
        <is>
          <t>HR-03</t>
        </is>
      </c>
      <c r="C13" s="70" t="inlineStr">
        <is>
          <t>DBS Check Records</t>
        </is>
      </c>
      <c r="D13" s="71" t="inlineStr">
        <is>
          <t>DBSCheck model + Celery renewal alerts</t>
        </is>
      </c>
      <c r="E13" s="71" t="inlineStr">
        <is>
          <t>Tech Lead</t>
        </is>
      </c>
      <c r="F13" s="69" t="inlineStr">
        <is>
          <t>Week 2</t>
        </is>
      </c>
      <c r="G13" s="69" t="inlineStr">
        <is>
          <t>Mandatory for youth organisation</t>
        </is>
      </c>
      <c r="H13" s="69" t="inlineStr">
        <is>
          <t>⬜ Not Started</t>
        </is>
      </c>
      <c r="I13" s="6" t="n"/>
      <c r="J13" s="6" t="n"/>
      <c r="K13" s="6" t="n"/>
      <c r="L13" s="6" t="n"/>
      <c r="M13" s="6" t="n"/>
      <c r="N13" s="6" t="n"/>
    </row>
    <row r="14" ht="22" customHeight="1">
      <c r="A14" s="6" t="n"/>
      <c r="B14" s="72" t="inlineStr">
        <is>
          <t>SEC-04</t>
        </is>
      </c>
      <c r="C14" s="73" t="inlineStr">
        <is>
          <t>JWT Session Revocation</t>
        </is>
      </c>
      <c r="D14" s="74" t="inlineStr">
        <is>
          <t>Redis token blacklist in get_current_user()</t>
        </is>
      </c>
      <c r="E14" s="74" t="inlineStr">
        <is>
          <t>Tech Lead</t>
        </is>
      </c>
      <c r="F14" s="72" t="inlineStr">
        <is>
          <t>Week 1</t>
        </is>
      </c>
      <c r="G14" s="72" t="inlineStr">
        <is>
          <t>2 hours of work</t>
        </is>
      </c>
      <c r="H14" s="72" t="inlineStr">
        <is>
          <t>⬜ Not Started</t>
        </is>
      </c>
      <c r="I14" s="6" t="n"/>
      <c r="J14" s="6" t="n"/>
      <c r="K14" s="6" t="n"/>
      <c r="L14" s="6" t="n"/>
      <c r="M14" s="6" t="n"/>
      <c r="N14" s="6" t="n"/>
    </row>
    <row r="15" ht="22" customHeight="1">
      <c r="A15" s="6" t="n"/>
      <c r="B15" s="69" t="inlineStr">
        <is>
          <t>SEC-05</t>
        </is>
      </c>
      <c r="C15" s="70" t="inlineStr">
        <is>
          <t>Login Rate Limiting</t>
        </is>
      </c>
      <c r="D15" s="71" t="inlineStr">
        <is>
          <t>Add slowapi to requirements.txt, apply to /auth/login</t>
        </is>
      </c>
      <c r="E15" s="71" t="inlineStr">
        <is>
          <t>Tech Lead</t>
        </is>
      </c>
      <c r="F15" s="69" t="inlineStr">
        <is>
          <t>Week 1</t>
        </is>
      </c>
      <c r="G15" s="69" t="inlineStr">
        <is>
          <t>30 minutes</t>
        </is>
      </c>
      <c r="H15" s="69" t="inlineStr">
        <is>
          <t>⬜ Not Started</t>
        </is>
      </c>
      <c r="I15" s="6" t="n"/>
      <c r="J15" s="6" t="n"/>
      <c r="K15" s="6" t="n"/>
      <c r="L15" s="6" t="n"/>
      <c r="M15" s="6" t="n"/>
      <c r="N15" s="6" t="n"/>
    </row>
    <row r="16" ht="22" customHeight="1">
      <c r="A16" s="6" t="n"/>
      <c r="B16" s="72" t="inlineStr">
        <is>
          <t>PR-11</t>
        </is>
      </c>
      <c r="C16" s="73" t="inlineStr">
        <is>
          <t>P60 Generation</t>
        </is>
      </c>
      <c r="D16" s="74" t="inlineStr">
        <is>
          <t>Extend ReportLab payslip — year-end certificate by 31 May</t>
        </is>
      </c>
      <c r="E16" s="74" t="inlineStr">
        <is>
          <t>Tech Lead</t>
        </is>
      </c>
      <c r="F16" s="72" t="inlineStr">
        <is>
          <t>Week 2</t>
        </is>
      </c>
      <c r="G16" s="72" t="inlineStr">
        <is>
          <t>Legal requirement</t>
        </is>
      </c>
      <c r="H16" s="72" t="inlineStr">
        <is>
          <t>⬜ Not Started</t>
        </is>
      </c>
      <c r="I16" s="6" t="n"/>
      <c r="J16" s="6" t="n"/>
      <c r="K16" s="6" t="n"/>
      <c r="L16" s="6" t="n"/>
      <c r="M16" s="6" t="n"/>
      <c r="N16" s="6" t="n"/>
    </row>
    <row r="17" ht="22" customHeight="1">
      <c r="A17" s="6" t="n"/>
      <c r="B17" s="69" t="inlineStr">
        <is>
          <t>PR-12</t>
        </is>
      </c>
      <c r="C17" s="70" t="inlineStr">
        <is>
          <t>P45 Generation</t>
        </is>
      </c>
      <c r="D17" s="71" t="inlineStr">
        <is>
          <t>Terminate employee endpoint + P45 PDF</t>
        </is>
      </c>
      <c r="E17" s="71" t="inlineStr">
        <is>
          <t>Tech Lead</t>
        </is>
      </c>
      <c r="F17" s="69" t="inlineStr">
        <is>
          <t>Week 2</t>
        </is>
      </c>
      <c r="G17" s="69" t="inlineStr">
        <is>
          <t>Legal requirement on leaving</t>
        </is>
      </c>
      <c r="H17" s="69" t="inlineStr">
        <is>
          <t>⬜ Not Started</t>
        </is>
      </c>
      <c r="I17" s="6" t="n"/>
      <c r="J17" s="6" t="n"/>
      <c r="K17" s="6" t="n"/>
      <c r="L17" s="6" t="n"/>
      <c r="M17" s="6" t="n"/>
      <c r="N17" s="6" t="n"/>
    </row>
    <row r="18" ht="6" customHeight="1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</row>
    <row r="19" ht="18" customHeight="1">
      <c r="A19" s="6" t="n"/>
      <c r="B19" s="75" t="inlineStr">
        <is>
          <t>PHASE 2 — MONTH 1 (Weeks 3–4) — GDPR and Data Protection</t>
        </is>
      </c>
      <c r="N19" s="6" t="n"/>
    </row>
    <row r="20" ht="6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</row>
    <row r="21" ht="16" customHeight="1">
      <c r="A21" s="6" t="n"/>
      <c r="B21" s="68" t="inlineStr">
        <is>
          <t>Ref</t>
        </is>
      </c>
      <c r="C21" s="68" t="inlineStr">
        <is>
          <t>Item</t>
        </is>
      </c>
      <c r="D21" s="68" t="inlineStr">
        <is>
          <t>What to Build</t>
        </is>
      </c>
      <c r="E21" s="68" t="inlineStr">
        <is>
          <t>Owner</t>
        </is>
      </c>
      <c r="F21" s="68" t="inlineStr">
        <is>
          <t>Target</t>
        </is>
      </c>
      <c r="G21" s="68" t="inlineStr">
        <is>
          <t>Notes</t>
        </is>
      </c>
      <c r="H21" s="68" t="inlineStr">
        <is>
          <t>Status</t>
        </is>
      </c>
      <c r="I21" s="6" t="n"/>
      <c r="J21" s="6" t="n"/>
      <c r="K21" s="6" t="n"/>
      <c r="L21" s="6" t="n"/>
      <c r="M21" s="6" t="n"/>
      <c r="N21" s="6" t="n"/>
    </row>
    <row r="22" ht="22" customHeight="1">
      <c r="A22" s="6" t="n"/>
      <c r="B22" s="76" t="inlineStr">
        <is>
          <t>DP-11</t>
        </is>
      </c>
      <c r="C22" s="77" t="inlineStr">
        <is>
          <t>ICO Registration</t>
        </is>
      </c>
      <c r="D22" s="78" t="inlineStr">
        <is>
          <t>Register with ICO if not already done</t>
        </is>
      </c>
      <c r="E22" s="78" t="inlineStr">
        <is>
          <t>CFO</t>
        </is>
      </c>
      <c r="F22" s="76" t="inlineStr">
        <is>
          <t>Week 3</t>
        </is>
      </c>
      <c r="G22" s="76" t="inlineStr">
        <is>
          <t>Annual fee £40–£2,900</t>
        </is>
      </c>
      <c r="H22" s="76" t="inlineStr">
        <is>
          <t>⬜ Not Started</t>
        </is>
      </c>
      <c r="I22" s="6" t="n"/>
      <c r="J22" s="6" t="n"/>
      <c r="K22" s="6" t="n"/>
      <c r="L22" s="6" t="n"/>
      <c r="M22" s="6" t="n"/>
      <c r="N22" s="6" t="n"/>
    </row>
    <row r="23" ht="22" customHeight="1">
      <c r="A23" s="6" t="n"/>
      <c r="B23" s="69" t="inlineStr">
        <is>
          <t>DP-01</t>
        </is>
      </c>
      <c r="C23" s="70" t="inlineStr">
        <is>
          <t>Lawful Basis Recording</t>
        </is>
      </c>
      <c r="D23" s="71" t="inlineStr">
        <is>
          <t>Add lawful_basis field to data models with consent date</t>
        </is>
      </c>
      <c r="E23" s="71" t="inlineStr">
        <is>
          <t>Tech Lead</t>
        </is>
      </c>
      <c r="F23" s="69" t="inlineStr">
        <is>
          <t>Week 3</t>
        </is>
      </c>
      <c r="G23" s="69" t="inlineStr">
        <is>
          <t>UK GDPR Article 6</t>
        </is>
      </c>
      <c r="H23" s="69" t="inlineStr">
        <is>
          <t>⬜ Not Started</t>
        </is>
      </c>
      <c r="I23" s="6" t="n"/>
      <c r="J23" s="6" t="n"/>
      <c r="K23" s="6" t="n"/>
      <c r="L23" s="6" t="n"/>
      <c r="M23" s="6" t="n"/>
      <c r="N23" s="6" t="n"/>
    </row>
    <row r="24" ht="22" customHeight="1">
      <c r="A24" s="6" t="n"/>
      <c r="B24" s="76" t="inlineStr">
        <is>
          <t>DP-04</t>
        </is>
      </c>
      <c r="C24" s="77" t="inlineStr">
        <is>
          <t>DSAR Endpoint</t>
        </is>
      </c>
      <c r="D24" s="78" t="inlineStr">
        <is>
          <t>POST /gdpr/subject-access-request — export all data for individual</t>
        </is>
      </c>
      <c r="E24" s="78" t="inlineStr">
        <is>
          <t>Tech Lead</t>
        </is>
      </c>
      <c r="F24" s="76" t="inlineStr">
        <is>
          <t>Week 4</t>
        </is>
      </c>
      <c r="G24" s="76" t="inlineStr">
        <is>
          <t>30-day legal deadline</t>
        </is>
      </c>
      <c r="H24" s="76" t="inlineStr">
        <is>
          <t>⬜ Not Started</t>
        </is>
      </c>
      <c r="I24" s="6" t="n"/>
      <c r="J24" s="6" t="n"/>
      <c r="K24" s="6" t="n"/>
      <c r="L24" s="6" t="n"/>
      <c r="M24" s="6" t="n"/>
      <c r="N24" s="6" t="n"/>
    </row>
    <row r="25" ht="22" customHeight="1">
      <c r="A25" s="6" t="n"/>
      <c r="B25" s="69" t="inlineStr">
        <is>
          <t>DP-05</t>
        </is>
      </c>
      <c r="C25" s="70" t="inlineStr">
        <is>
          <t>Right to Erasure</t>
        </is>
      </c>
      <c r="D25" s="71" t="inlineStr">
        <is>
          <t>DELETE /gdpr/right-to-erasure/{id} — anonymise PII</t>
        </is>
      </c>
      <c r="E25" s="71" t="inlineStr">
        <is>
          <t>Tech Lead</t>
        </is>
      </c>
      <c r="F25" s="69" t="inlineStr">
        <is>
          <t>Week 4</t>
        </is>
      </c>
      <c r="G25" s="69" t="inlineStr">
        <is>
          <t>GDPR Article 17</t>
        </is>
      </c>
      <c r="H25" s="69" t="inlineStr">
        <is>
          <t>⬜ Not Started</t>
        </is>
      </c>
      <c r="I25" s="6" t="n"/>
      <c r="J25" s="6" t="n"/>
      <c r="K25" s="6" t="n"/>
      <c r="L25" s="6" t="n"/>
      <c r="M25" s="6" t="n"/>
      <c r="N25" s="6" t="n"/>
    </row>
    <row r="26" ht="22" customHeight="1">
      <c r="A26" s="6" t="n"/>
      <c r="B26" s="76" t="inlineStr">
        <is>
          <t>DP-08</t>
        </is>
      </c>
      <c r="C26" s="77" t="inlineStr">
        <is>
          <t>Field-Level Encryption</t>
        </is>
      </c>
      <c r="D26" s="78" t="inlineStr">
        <is>
          <t>sqlalchemy-utils EncryptedType on NI, bank details</t>
        </is>
      </c>
      <c r="E26" s="78" t="inlineStr">
        <is>
          <t>Tech Lead</t>
        </is>
      </c>
      <c r="F26" s="76" t="inlineStr">
        <is>
          <t>Week 4</t>
        </is>
      </c>
      <c r="G26" s="76" t="inlineStr">
        <is>
          <t>UK GDPR Article 32</t>
        </is>
      </c>
      <c r="H26" s="76" t="inlineStr">
        <is>
          <t>⬜ Not Started</t>
        </is>
      </c>
      <c r="I26" s="6" t="n"/>
      <c r="J26" s="6" t="n"/>
      <c r="K26" s="6" t="n"/>
      <c r="L26" s="6" t="n"/>
      <c r="M26" s="6" t="n"/>
      <c r="N26" s="6" t="n"/>
    </row>
    <row r="27" ht="22" customHeight="1">
      <c r="A27" s="6" t="n"/>
      <c r="B27" s="69" t="inlineStr">
        <is>
          <t>SEC-06</t>
        </is>
      </c>
      <c r="C27" s="70" t="inlineStr">
        <is>
          <t>2FA Implementation</t>
        </is>
      </c>
      <c r="D27" s="71" t="inlineStr">
        <is>
          <t>pyotp TOTP — mandatory for CFO/Finance Manager</t>
        </is>
      </c>
      <c r="E27" s="71" t="inlineStr">
        <is>
          <t>Tech Lead</t>
        </is>
      </c>
      <c r="F27" s="69" t="inlineStr">
        <is>
          <t>Week 4</t>
        </is>
      </c>
      <c r="G27" s="69" t="inlineStr">
        <is>
          <t>1 day of work</t>
        </is>
      </c>
      <c r="H27" s="69" t="inlineStr">
        <is>
          <t>⬜ Not Started</t>
        </is>
      </c>
      <c r="I27" s="6" t="n"/>
      <c r="J27" s="6" t="n"/>
      <c r="K27" s="6" t="n"/>
      <c r="L27" s="6" t="n"/>
      <c r="M27" s="6" t="n"/>
      <c r="N27" s="6" t="n"/>
    </row>
    <row r="28" ht="22" customHeight="1">
      <c r="A28" s="6" t="n"/>
      <c r="B28" s="76" t="inlineStr">
        <is>
          <t>CC-12</t>
        </is>
      </c>
      <c r="C28" s="77" t="inlineStr">
        <is>
          <t>HMRC Gift Aid Registration</t>
        </is>
      </c>
      <c r="D28" s="78" t="inlineStr">
        <is>
          <t>Register charity with HMRC to claim Gift Aid</t>
        </is>
      </c>
      <c r="E28" s="78" t="inlineStr">
        <is>
          <t>CFO</t>
        </is>
      </c>
      <c r="F28" s="76" t="inlineStr">
        <is>
          <t>Week 3</t>
        </is>
      </c>
      <c r="G28" s="76" t="inlineStr">
        <is>
          <t>Required before any Gift Aid claim</t>
        </is>
      </c>
      <c r="H28" s="76" t="inlineStr">
        <is>
          <t>⬜ Not Started</t>
        </is>
      </c>
      <c r="I28" s="6" t="n"/>
      <c r="J28" s="6" t="n"/>
      <c r="K28" s="6" t="n"/>
      <c r="L28" s="6" t="n"/>
      <c r="M28" s="6" t="n"/>
      <c r="N28" s="6" t="n"/>
    </row>
    <row r="29" ht="6" customHeight="1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</row>
    <row r="30" ht="18" customHeight="1">
      <c r="A30" s="6" t="n"/>
      <c r="B30" s="79" t="inlineStr">
        <is>
          <t>PHASE 3 — MONTH 2 — HR Module Build</t>
        </is>
      </c>
      <c r="N30" s="6" t="n"/>
    </row>
    <row r="31" ht="6" customHeight="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</row>
    <row r="32" ht="16" customHeight="1">
      <c r="A32" s="6" t="n"/>
      <c r="B32" s="68" t="inlineStr">
        <is>
          <t>Ref</t>
        </is>
      </c>
      <c r="C32" s="68" t="inlineStr">
        <is>
          <t>Item</t>
        </is>
      </c>
      <c r="D32" s="68" t="inlineStr">
        <is>
          <t>What to Build</t>
        </is>
      </c>
      <c r="E32" s="68" t="inlineStr">
        <is>
          <t>Owner</t>
        </is>
      </c>
      <c r="F32" s="68" t="inlineStr">
        <is>
          <t>Target</t>
        </is>
      </c>
      <c r="G32" s="68" t="inlineStr">
        <is>
          <t>Notes</t>
        </is>
      </c>
      <c r="H32" s="68" t="inlineStr">
        <is>
          <t>Status</t>
        </is>
      </c>
      <c r="I32" s="6" t="n"/>
      <c r="J32" s="6" t="n"/>
      <c r="K32" s="6" t="n"/>
      <c r="L32" s="6" t="n"/>
      <c r="M32" s="6" t="n"/>
      <c r="N32" s="6" t="n"/>
    </row>
    <row r="33" ht="22" customHeight="1">
      <c r="A33" s="6" t="n"/>
      <c r="B33" s="69" t="inlineStr">
        <is>
          <t>HR-08</t>
        </is>
      </c>
      <c r="C33" s="70" t="inlineStr">
        <is>
          <t>Leave Management</t>
        </is>
      </c>
      <c r="D33" s="71" t="inlineStr">
        <is>
          <t>LeaveRecord model + holiday/sick balance endpoints</t>
        </is>
      </c>
      <c r="E33" s="71" t="inlineStr">
        <is>
          <t>Tech Lead</t>
        </is>
      </c>
      <c r="F33" s="69" t="inlineStr">
        <is>
          <t>Month 2</t>
        </is>
      </c>
      <c r="G33" s="69" t="inlineStr">
        <is>
          <t>Working Time Regulations</t>
        </is>
      </c>
      <c r="H33" s="69" t="inlineStr">
        <is>
          <t>⬜ Not Started</t>
        </is>
      </c>
      <c r="I33" s="6" t="n"/>
      <c r="J33" s="6" t="n"/>
      <c r="K33" s="6" t="n"/>
      <c r="L33" s="6" t="n"/>
      <c r="M33" s="6" t="n"/>
      <c r="N33" s="6" t="n"/>
    </row>
    <row r="34" ht="22" customHeight="1">
      <c r="A34" s="6" t="n"/>
      <c r="B34" s="80" t="inlineStr">
        <is>
          <t>HR-09</t>
        </is>
      </c>
      <c r="C34" s="81" t="inlineStr">
        <is>
          <t>Sickness Absence</t>
        </is>
      </c>
      <c r="D34" s="82" t="inlineStr">
        <is>
          <t>Sick leave tracking + SSP trigger linkage</t>
        </is>
      </c>
      <c r="E34" s="82" t="inlineStr">
        <is>
          <t>Tech Lead</t>
        </is>
      </c>
      <c r="F34" s="80" t="inlineStr">
        <is>
          <t>Month 2</t>
        </is>
      </c>
      <c r="G34" s="80" t="inlineStr">
        <is>
          <t>SSP calculation dependency</t>
        </is>
      </c>
      <c r="H34" s="80" t="inlineStr">
        <is>
          <t>⬜ Not Started</t>
        </is>
      </c>
      <c r="I34" s="6" t="n"/>
      <c r="J34" s="6" t="n"/>
      <c r="K34" s="6" t="n"/>
      <c r="L34" s="6" t="n"/>
      <c r="M34" s="6" t="n"/>
      <c r="N34" s="6" t="n"/>
    </row>
    <row r="35" ht="22" customHeight="1">
      <c r="A35" s="6" t="n"/>
      <c r="B35" s="69" t="inlineStr">
        <is>
          <t>PR-16</t>
        </is>
      </c>
      <c r="C35" s="70" t="inlineStr">
        <is>
          <t>SSP Calculation</t>
        </is>
      </c>
      <c r="D35" s="71" t="inlineStr">
        <is>
          <t>calculate_ssp() in payroll_calculator.py — £116.75/wk</t>
        </is>
      </c>
      <c r="E35" s="71" t="inlineStr">
        <is>
          <t>Tech Lead</t>
        </is>
      </c>
      <c r="F35" s="69" t="inlineStr">
        <is>
          <t>Month 2</t>
        </is>
      </c>
      <c r="G35" s="69" t="inlineStr"/>
      <c r="H35" s="69" t="inlineStr">
        <is>
          <t>⬜ Not Started</t>
        </is>
      </c>
      <c r="I35" s="6" t="n"/>
      <c r="J35" s="6" t="n"/>
      <c r="K35" s="6" t="n"/>
      <c r="L35" s="6" t="n"/>
      <c r="M35" s="6" t="n"/>
      <c r="N35" s="6" t="n"/>
    </row>
    <row r="36" ht="22" customHeight="1">
      <c r="A36" s="6" t="n"/>
      <c r="B36" s="80" t="inlineStr">
        <is>
          <t>PR-17</t>
        </is>
      </c>
      <c r="C36" s="81" t="inlineStr">
        <is>
          <t>SMP Calculation</t>
        </is>
      </c>
      <c r="D36" s="82" t="inlineStr">
        <is>
          <t>calculate_smp() — 90% AWE then £184.03/wk</t>
        </is>
      </c>
      <c r="E36" s="82" t="inlineStr">
        <is>
          <t>Tech Lead</t>
        </is>
      </c>
      <c r="F36" s="80" t="inlineStr">
        <is>
          <t>Month 2</t>
        </is>
      </c>
      <c r="G36" s="80" t="inlineStr"/>
      <c r="H36" s="80" t="inlineStr">
        <is>
          <t>⬜ Not Started</t>
        </is>
      </c>
      <c r="I36" s="6" t="n"/>
      <c r="J36" s="6" t="n"/>
      <c r="K36" s="6" t="n"/>
      <c r="L36" s="6" t="n"/>
      <c r="M36" s="6" t="n"/>
      <c r="N36" s="6" t="n"/>
    </row>
    <row r="37" ht="22" customHeight="1">
      <c r="A37" s="6" t="n"/>
      <c r="B37" s="69" t="inlineStr">
        <is>
          <t>HR-06</t>
        </is>
      </c>
      <c r="C37" s="70" t="inlineStr">
        <is>
          <t>Safeguarding Training Records</t>
        </is>
      </c>
      <c r="D37" s="71" t="inlineStr">
        <is>
          <t>SafeguardingRecord model + expiry alerts</t>
        </is>
      </c>
      <c r="E37" s="71" t="inlineStr">
        <is>
          <t>HR Manager</t>
        </is>
      </c>
      <c r="F37" s="69" t="inlineStr">
        <is>
          <t>Month 2</t>
        </is>
      </c>
      <c r="G37" s="69" t="inlineStr">
        <is>
          <t>Statutory duty</t>
        </is>
      </c>
      <c r="H37" s="69" t="inlineStr">
        <is>
          <t>⬜ Not Started</t>
        </is>
      </c>
      <c r="I37" s="6" t="n"/>
      <c r="J37" s="6" t="n"/>
      <c r="K37" s="6" t="n"/>
      <c r="L37" s="6" t="n"/>
      <c r="M37" s="6" t="n"/>
      <c r="N37" s="6" t="n"/>
    </row>
    <row r="38" ht="22" customHeight="1">
      <c r="A38" s="6" t="n"/>
      <c r="B38" s="80" t="inlineStr">
        <is>
          <t>HR-13</t>
        </is>
      </c>
      <c r="C38" s="81" t="inlineStr">
        <is>
          <t>Disciplinary Records</t>
        </is>
      </c>
      <c r="D38" s="82" t="inlineStr">
        <is>
          <t>DisciplinaryCase model — confidential, audit protected</t>
        </is>
      </c>
      <c r="E38" s="82" t="inlineStr">
        <is>
          <t>HR Manager</t>
        </is>
      </c>
      <c r="F38" s="80" t="inlineStr">
        <is>
          <t>Month 2</t>
        </is>
      </c>
      <c r="G38" s="80" t="inlineStr">
        <is>
          <t>Employment Rights Act 1996</t>
        </is>
      </c>
      <c r="H38" s="80" t="inlineStr">
        <is>
          <t>⬜ Not Started</t>
        </is>
      </c>
      <c r="I38" s="6" t="n"/>
      <c r="J38" s="6" t="n"/>
      <c r="K38" s="6" t="n"/>
      <c r="L38" s="6" t="n"/>
      <c r="M38" s="6" t="n"/>
      <c r="N38" s="6" t="n"/>
    </row>
    <row r="39" ht="22" customHeight="1">
      <c r="A39" s="6" t="n"/>
      <c r="B39" s="69" t="inlineStr">
        <is>
          <t>SEC-07</t>
        </is>
      </c>
      <c r="C39" s="70" t="inlineStr">
        <is>
          <t>Immutable Audit Log</t>
        </is>
      </c>
      <c r="D39" s="71" t="inlineStr">
        <is>
          <t>AuditLog model + middleware for all state changes</t>
        </is>
      </c>
      <c r="E39" s="71" t="inlineStr">
        <is>
          <t>Tech Lead</t>
        </is>
      </c>
      <c r="F39" s="69" t="inlineStr">
        <is>
          <t>Month 2</t>
        </is>
      </c>
      <c r="G39" s="69" t="inlineStr">
        <is>
          <t>Required for HMRC/Charity Commission audit</t>
        </is>
      </c>
      <c r="H39" s="69" t="inlineStr">
        <is>
          <t>⬜ Not Started</t>
        </is>
      </c>
      <c r="I39" s="6" t="n"/>
      <c r="J39" s="6" t="n"/>
      <c r="K39" s="6" t="n"/>
      <c r="L39" s="6" t="n"/>
      <c r="M39" s="6" t="n"/>
      <c r="N39" s="6" t="n"/>
    </row>
    <row r="40" ht="6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</row>
    <row r="41" ht="18" customHeight="1">
      <c r="A41" s="6" t="n"/>
      <c r="B41" s="83" t="inlineStr">
        <is>
          <t>PHASE 4 — MONTH 3 — Financial Reporting Completeness</t>
        </is>
      </c>
      <c r="N41" s="6" t="n"/>
    </row>
    <row r="42" ht="6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</row>
    <row r="43" ht="16" customHeight="1">
      <c r="A43" s="6" t="n"/>
      <c r="B43" s="68" t="inlineStr">
        <is>
          <t>Ref</t>
        </is>
      </c>
      <c r="C43" s="68" t="inlineStr">
        <is>
          <t>Item</t>
        </is>
      </c>
      <c r="D43" s="68" t="inlineStr">
        <is>
          <t>What to Build</t>
        </is>
      </c>
      <c r="E43" s="68" t="inlineStr">
        <is>
          <t>Owner</t>
        </is>
      </c>
      <c r="F43" s="68" t="inlineStr">
        <is>
          <t>Target</t>
        </is>
      </c>
      <c r="G43" s="68" t="inlineStr">
        <is>
          <t>Notes</t>
        </is>
      </c>
      <c r="H43" s="68" t="inlineStr">
        <is>
          <t>Status</t>
        </is>
      </c>
      <c r="I43" s="6" t="n"/>
      <c r="J43" s="6" t="n"/>
      <c r="K43" s="6" t="n"/>
      <c r="L43" s="6" t="n"/>
      <c r="M43" s="6" t="n"/>
      <c r="N43" s="6" t="n"/>
    </row>
    <row r="44" ht="22" customHeight="1">
      <c r="A44" s="6" t="n"/>
      <c r="B44" s="84" t="inlineStr">
        <is>
          <t>FA-08</t>
        </is>
      </c>
      <c r="C44" s="85" t="inlineStr">
        <is>
          <t>Restricted Fund Accounting</t>
        </is>
      </c>
      <c r="D44" s="86" t="inlineStr">
        <is>
          <t>Fund model (restricted/unrestricted/endowment) + fund_id on all records</t>
        </is>
      </c>
      <c r="E44" s="86" t="inlineStr">
        <is>
          <t>Tech Lead</t>
        </is>
      </c>
      <c r="F44" s="84" t="inlineStr">
        <is>
          <t>Month 3</t>
        </is>
      </c>
      <c r="G44" s="84" t="inlineStr">
        <is>
          <t>Most impactful single addition</t>
        </is>
      </c>
      <c r="H44" s="84" t="inlineStr">
        <is>
          <t>⬜ Not Started</t>
        </is>
      </c>
      <c r="I44" s="6" t="n"/>
      <c r="J44" s="6" t="n"/>
      <c r="K44" s="6" t="n"/>
      <c r="L44" s="6" t="n"/>
      <c r="M44" s="6" t="n"/>
      <c r="N44" s="6" t="n"/>
    </row>
    <row r="45" ht="22" customHeight="1">
      <c r="A45" s="6" t="n"/>
      <c r="B45" s="69" t="inlineStr">
        <is>
          <t>FA-10</t>
        </is>
      </c>
      <c r="C45" s="70" t="inlineStr">
        <is>
          <t>SoFA Report</t>
        </is>
      </c>
      <c r="D45" s="71" t="inlineStr">
        <is>
          <t>SORP-compliant Statement of Financial Activities endpoint</t>
        </is>
      </c>
      <c r="E45" s="71" t="inlineStr">
        <is>
          <t>Tech Lead</t>
        </is>
      </c>
      <c r="F45" s="69" t="inlineStr">
        <is>
          <t>Month 3</t>
        </is>
      </c>
      <c r="G45" s="69" t="inlineStr">
        <is>
          <t>Depends on FA-08</t>
        </is>
      </c>
      <c r="H45" s="69" t="inlineStr">
        <is>
          <t>⬜ Not Started</t>
        </is>
      </c>
      <c r="I45" s="6" t="n"/>
      <c r="J45" s="6" t="n"/>
      <c r="K45" s="6" t="n"/>
      <c r="L45" s="6" t="n"/>
      <c r="M45" s="6" t="n"/>
      <c r="N45" s="6" t="n"/>
    </row>
    <row r="46" ht="22" customHeight="1">
      <c r="A46" s="6" t="n"/>
      <c r="B46" s="84" t="inlineStr">
        <is>
          <t>PR-15</t>
        </is>
      </c>
      <c r="C46" s="85" t="inlineStr">
        <is>
          <t>YTD Payroll Totals Fix</t>
        </is>
      </c>
      <c r="D46" s="86" t="inlineStr">
        <is>
          <t>Calculate and populate ytd_gross, ytd_tax, ytd_ni on every PayrollRecord</t>
        </is>
      </c>
      <c r="E46" s="86" t="inlineStr">
        <is>
          <t>Tech Lead</t>
        </is>
      </c>
      <c r="F46" s="84" t="inlineStr">
        <is>
          <t>Month 3</t>
        </is>
      </c>
      <c r="G46" s="84" t="inlineStr">
        <is>
          <t>Existing bug — required for P60</t>
        </is>
      </c>
      <c r="H46" s="84" t="inlineStr">
        <is>
          <t>⬜ Not Started</t>
        </is>
      </c>
      <c r="I46" s="6" t="n"/>
      <c r="J46" s="6" t="n"/>
      <c r="K46" s="6" t="n"/>
      <c r="L46" s="6" t="n"/>
      <c r="M46" s="6" t="n"/>
      <c r="N46" s="6" t="n"/>
    </row>
    <row r="47" ht="22" customHeight="1">
      <c r="A47" s="6" t="n"/>
      <c r="B47" s="69" t="inlineStr">
        <is>
          <t>CC-09</t>
        </is>
      </c>
      <c r="C47" s="70" t="inlineStr">
        <is>
          <t>Conflict of Interest Register</t>
        </is>
      </c>
      <c r="D47" s="71" t="inlineStr">
        <is>
          <t>Trustee model + ConflictOfInterest model</t>
        </is>
      </c>
      <c r="E47" s="71" t="inlineStr">
        <is>
          <t>CFO</t>
        </is>
      </c>
      <c r="F47" s="69" t="inlineStr">
        <is>
          <t>Month 3</t>
        </is>
      </c>
      <c r="G47" s="69" t="inlineStr">
        <is>
          <t>Charity Commission CC29</t>
        </is>
      </c>
      <c r="H47" s="69" t="inlineStr">
        <is>
          <t>⬜ Not Started</t>
        </is>
      </c>
      <c r="I47" s="6" t="n"/>
      <c r="J47" s="6" t="n"/>
      <c r="K47" s="6" t="n"/>
      <c r="L47" s="6" t="n"/>
      <c r="M47" s="6" t="n"/>
      <c r="N47" s="6" t="n"/>
    </row>
    <row r="48" ht="22" customHeight="1">
      <c r="A48" s="6" t="n"/>
      <c r="B48" s="84" t="inlineStr">
        <is>
          <t>CC-10</t>
        </is>
      </c>
      <c r="C48" s="85" t="inlineStr">
        <is>
          <t>Trustee Register</t>
        </is>
      </c>
      <c r="D48" s="86" t="inlineStr">
        <is>
          <t>Trustee model with all required fields</t>
        </is>
      </c>
      <c r="E48" s="86" t="inlineStr">
        <is>
          <t>CFO</t>
        </is>
      </c>
      <c r="F48" s="84" t="inlineStr">
        <is>
          <t>Month 3</t>
        </is>
      </c>
      <c r="G48" s="84" t="inlineStr"/>
      <c r="H48" s="84" t="inlineStr">
        <is>
          <t>⬜ Not Started</t>
        </is>
      </c>
      <c r="I48" s="6" t="n"/>
      <c r="J48" s="6" t="n"/>
      <c r="K48" s="6" t="n"/>
      <c r="L48" s="6" t="n"/>
      <c r="M48" s="6" t="n"/>
      <c r="N48" s="6" t="n"/>
    </row>
    <row r="49" ht="22" customHeight="1">
      <c r="A49" s="6" t="n"/>
      <c r="B49" s="69" t="inlineStr">
        <is>
          <t>FA-07</t>
        </is>
      </c>
      <c r="C49" s="70" t="inlineStr">
        <is>
          <t>Bank Reconciliation Lock</t>
        </is>
      </c>
      <c r="D49" s="71" t="inlineStr">
        <is>
          <t>lock_date on BankAccount — prevent post-lock entries</t>
        </is>
      </c>
      <c r="E49" s="71" t="inlineStr">
        <is>
          <t>Tech Lead</t>
        </is>
      </c>
      <c r="F49" s="69" t="inlineStr">
        <is>
          <t>Month 3</t>
        </is>
      </c>
      <c r="G49" s="69" t="inlineStr">
        <is>
          <t>Required for clean audit</t>
        </is>
      </c>
      <c r="H49" s="69" t="inlineStr">
        <is>
          <t>⬜ Not Started</t>
        </is>
      </c>
      <c r="I49" s="6" t="n"/>
      <c r="J49" s="6" t="n"/>
      <c r="K49" s="6" t="n"/>
      <c r="L49" s="6" t="n"/>
      <c r="M49" s="6" t="n"/>
      <c r="N49" s="6" t="n"/>
    </row>
    <row r="50" ht="22" customHeight="1">
      <c r="A50" s="6" t="n"/>
      <c r="B50" s="84" t="inlineStr">
        <is>
          <t>DP-06</t>
        </is>
      </c>
      <c r="C50" s="85" t="inlineStr">
        <is>
          <t>Data Retention Schedules</t>
        </is>
      </c>
      <c r="D50" s="86" t="inlineStr">
        <is>
          <t>Retention config + Celery enforcement task</t>
        </is>
      </c>
      <c r="E50" s="86" t="inlineStr">
        <is>
          <t>CFO</t>
        </is>
      </c>
      <c r="F50" s="84" t="inlineStr">
        <is>
          <t>Month 3</t>
        </is>
      </c>
      <c r="G50" s="84" t="inlineStr">
        <is>
          <t>UK GDPR storage limitation</t>
        </is>
      </c>
      <c r="H50" s="84" t="inlineStr">
        <is>
          <t>⬜ Not Started</t>
        </is>
      </c>
      <c r="I50" s="6" t="n"/>
      <c r="J50" s="6" t="n"/>
      <c r="K50" s="6" t="n"/>
      <c r="L50" s="6" t="n"/>
      <c r="M50" s="6" t="n"/>
      <c r="N50" s="6" t="n"/>
    </row>
    <row r="51" ht="6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</row>
    <row r="52" ht="18" customHeight="1">
      <c r="A52" s="6" t="n"/>
      <c r="B52" s="87" t="inlineStr">
        <is>
          <t>PHASE 5 — MONTHS 4–5 — UKVI + Advanced Compliance</t>
        </is>
      </c>
      <c r="N52" s="6" t="n"/>
    </row>
    <row r="53" ht="6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</row>
    <row r="54" ht="16" customHeight="1">
      <c r="A54" s="6" t="n"/>
      <c r="B54" s="68" t="inlineStr">
        <is>
          <t>Ref</t>
        </is>
      </c>
      <c r="C54" s="68" t="inlineStr">
        <is>
          <t>Item</t>
        </is>
      </c>
      <c r="D54" s="68" t="inlineStr">
        <is>
          <t>What to Build</t>
        </is>
      </c>
      <c r="E54" s="68" t="inlineStr">
        <is>
          <t>Owner</t>
        </is>
      </c>
      <c r="F54" s="68" t="inlineStr">
        <is>
          <t>Target</t>
        </is>
      </c>
      <c r="G54" s="68" t="inlineStr">
        <is>
          <t>Notes</t>
        </is>
      </c>
      <c r="H54" s="68" t="inlineStr">
        <is>
          <t>Status</t>
        </is>
      </c>
      <c r="I54" s="6" t="n"/>
      <c r="J54" s="6" t="n"/>
      <c r="K54" s="6" t="n"/>
      <c r="L54" s="6" t="n"/>
      <c r="M54" s="6" t="n"/>
      <c r="N54" s="6" t="n"/>
    </row>
    <row r="55" ht="22" customHeight="1">
      <c r="A55" s="6" t="n"/>
      <c r="B55" s="69" t="inlineStr">
        <is>
          <t>UK-01</t>
        </is>
      </c>
      <c r="C55" s="70" t="inlineStr">
        <is>
          <t>Sponsorship Licence Tracking</t>
        </is>
      </c>
      <c r="D55" s="71" t="inlineStr">
        <is>
          <t>Licence model with type, expiry, renewal dates</t>
        </is>
      </c>
      <c r="E55" s="71" t="inlineStr">
        <is>
          <t>HR Manager</t>
        </is>
      </c>
      <c r="F55" s="69" t="inlineStr">
        <is>
          <t>Month 4</t>
        </is>
      </c>
      <c r="G55" s="69" t="inlineStr">
        <is>
          <t>Only if licence held</t>
        </is>
      </c>
      <c r="H55" s="69" t="inlineStr">
        <is>
          <t>⬜ Not Started</t>
        </is>
      </c>
      <c r="I55" s="6" t="n"/>
      <c r="J55" s="6" t="n"/>
      <c r="K55" s="6" t="n"/>
      <c r="L55" s="6" t="n"/>
      <c r="M55" s="6" t="n"/>
      <c r="N55" s="6" t="n"/>
    </row>
    <row r="56" ht="22" customHeight="1">
      <c r="A56" s="6" t="n"/>
      <c r="B56" s="88" t="inlineStr">
        <is>
          <t>UK-02</t>
        </is>
      </c>
      <c r="C56" s="89" t="inlineStr">
        <is>
          <t>Sponsored Worker / CoS Record</t>
        </is>
      </c>
      <c r="D56" s="90" t="inlineStr">
        <is>
          <t>SponsoredWorker model linking to Employee</t>
        </is>
      </c>
      <c r="E56" s="90" t="inlineStr">
        <is>
          <t>HR Manager</t>
        </is>
      </c>
      <c r="F56" s="88" t="inlineStr">
        <is>
          <t>Month 4</t>
        </is>
      </c>
      <c r="G56" s="88" t="inlineStr"/>
      <c r="H56" s="88" t="inlineStr">
        <is>
          <t>⬜ Not Started</t>
        </is>
      </c>
      <c r="I56" s="6" t="n"/>
      <c r="J56" s="6" t="n"/>
      <c r="K56" s="6" t="n"/>
      <c r="L56" s="6" t="n"/>
      <c r="M56" s="6" t="n"/>
      <c r="N56" s="6" t="n"/>
    </row>
    <row r="57" ht="22" customHeight="1">
      <c r="A57" s="6" t="n"/>
      <c r="B57" s="69" t="inlineStr">
        <is>
          <t>UK-05</t>
        </is>
      </c>
      <c r="C57" s="70" t="inlineStr">
        <is>
          <t>Absence Monitoring (UKVI)</t>
        </is>
      </c>
      <c r="D57" s="71" t="inlineStr">
        <is>
          <t>10-day absence flag + UKVI reporting duty alert</t>
        </is>
      </c>
      <c r="E57" s="71" t="inlineStr">
        <is>
          <t>Tech Lead</t>
        </is>
      </c>
      <c r="F57" s="69" t="inlineStr">
        <is>
          <t>Month 4</t>
        </is>
      </c>
      <c r="G57" s="69" t="inlineStr">
        <is>
          <t>10-day rule — 10 working day report window</t>
        </is>
      </c>
      <c r="H57" s="69" t="inlineStr">
        <is>
          <t>⬜ Not Started</t>
        </is>
      </c>
      <c r="I57" s="6" t="n"/>
      <c r="J57" s="6" t="n"/>
      <c r="K57" s="6" t="n"/>
      <c r="L57" s="6" t="n"/>
      <c r="M57" s="6" t="n"/>
      <c r="N57" s="6" t="n"/>
    </row>
    <row r="58" ht="22" customHeight="1">
      <c r="A58" s="6" t="n"/>
      <c r="B58" s="88" t="inlineStr">
        <is>
          <t>UK-09</t>
        </is>
      </c>
      <c r="C58" s="89" t="inlineStr">
        <is>
          <t>Home Office Audit Pack</t>
        </is>
      </c>
      <c r="D58" s="90" t="inlineStr">
        <is>
          <t>On-demand export of all sponsor compliance documents</t>
        </is>
      </c>
      <c r="E58" s="90" t="inlineStr">
        <is>
          <t>Tech Lead</t>
        </is>
      </c>
      <c r="F58" s="88" t="inlineStr">
        <is>
          <t>Month 4</t>
        </is>
      </c>
      <c r="G58" s="88" t="inlineStr">
        <is>
          <t>48-hour notice visits</t>
        </is>
      </c>
      <c r="H58" s="88" t="inlineStr">
        <is>
          <t>⬜ Not Started</t>
        </is>
      </c>
      <c r="I58" s="6" t="n"/>
      <c r="J58" s="6" t="n"/>
      <c r="K58" s="6" t="n"/>
      <c r="L58" s="6" t="n"/>
      <c r="M58" s="6" t="n"/>
      <c r="N58" s="6" t="n"/>
    </row>
    <row r="59" ht="22" customHeight="1">
      <c r="A59" s="6" t="n"/>
      <c r="B59" s="69" t="inlineStr">
        <is>
          <t>PR-13</t>
        </is>
      </c>
      <c r="C59" s="70" t="inlineStr">
        <is>
          <t>P11D Generation</t>
        </is>
      </c>
      <c r="D59" s="71" t="inlineStr">
        <is>
          <t>P11D model + PDF — benefits in kind</t>
        </is>
      </c>
      <c r="E59" s="71" t="inlineStr">
        <is>
          <t>Tech Lead</t>
        </is>
      </c>
      <c r="F59" s="69" t="inlineStr">
        <is>
          <t>Month 5</t>
        </is>
      </c>
      <c r="G59" s="69" t="inlineStr"/>
      <c r="H59" s="69" t="inlineStr">
        <is>
          <t>⬜ Not Started</t>
        </is>
      </c>
      <c r="I59" s="6" t="n"/>
      <c r="J59" s="6" t="n"/>
      <c r="K59" s="6" t="n"/>
      <c r="L59" s="6" t="n"/>
      <c r="M59" s="6" t="n"/>
      <c r="N59" s="6" t="n"/>
    </row>
    <row r="60" ht="22" customHeight="1">
      <c r="A60" s="6" t="n"/>
      <c r="B60" s="88" t="inlineStr">
        <is>
          <t>PR-14</t>
        </is>
      </c>
      <c r="C60" s="89" t="inlineStr">
        <is>
          <t>IR35 Assessment Tool</t>
        </is>
      </c>
      <c r="D60" s="90" t="inlineStr">
        <is>
          <t>IR35Assessment model + CEST reference tracking</t>
        </is>
      </c>
      <c r="E60" s="90" t="inlineStr">
        <is>
          <t>CFO</t>
        </is>
      </c>
      <c r="F60" s="88" t="inlineStr">
        <is>
          <t>Month 5</t>
        </is>
      </c>
      <c r="G60" s="88" t="inlineStr">
        <is>
          <t>For any contractor engagement</t>
        </is>
      </c>
      <c r="H60" s="88" t="inlineStr">
        <is>
          <t>⬜ Not Started</t>
        </is>
      </c>
      <c r="I60" s="6" t="n"/>
      <c r="J60" s="6" t="n"/>
      <c r="K60" s="6" t="n"/>
      <c r="L60" s="6" t="n"/>
      <c r="M60" s="6" t="n"/>
      <c r="N60" s="6" t="n"/>
    </row>
    <row r="61" ht="22" customHeight="1">
      <c r="A61" s="6" t="n"/>
      <c r="B61" s="69" t="inlineStr">
        <is>
          <t>SEC-12</t>
        </is>
      </c>
      <c r="C61" s="70" t="inlineStr">
        <is>
          <t>Cyber Essentials Certification</t>
        </is>
      </c>
      <c r="D61" s="71" t="inlineStr">
        <is>
          <t>Apply for Cyber Essentials — external assessment</t>
        </is>
      </c>
      <c r="E61" s="71" t="inlineStr">
        <is>
          <t>CFO</t>
        </is>
      </c>
      <c r="F61" s="69" t="inlineStr">
        <is>
          <t>Month 5</t>
        </is>
      </c>
      <c r="G61" s="69" t="inlineStr">
        <is>
          <t>Required by many grant funders</t>
        </is>
      </c>
      <c r="H61" s="69" t="inlineStr">
        <is>
          <t>⬜ Not Started</t>
        </is>
      </c>
      <c r="I61" s="6" t="n"/>
      <c r="J61" s="6" t="n"/>
      <c r="K61" s="6" t="n"/>
      <c r="L61" s="6" t="n"/>
      <c r="M61" s="6" t="n"/>
      <c r="N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</row>
  </sheetData>
  <mergeCells count="7">
    <mergeCell ref="B2:M2"/>
    <mergeCell ref="B3:M3"/>
    <mergeCell ref="B19:M19"/>
    <mergeCell ref="B8:M8"/>
    <mergeCell ref="B41:M41"/>
    <mergeCell ref="B52:M52"/>
    <mergeCell ref="B30:M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2026-04-13T15:14:53Z</dcterms:created>
  <dcterms:modified xmlns:dcterms="http://purl.org/dc/terms/" xmlns:xsi="http://www.w3.org/2001/XMLSchema-instance" xsi:type="dcterms:W3CDTF">2026-04-13T15:14:54Z</dcterms:modified>
</cp:coreProperties>
</file>